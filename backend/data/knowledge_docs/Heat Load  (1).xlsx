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/>
  <mc:AlternateContent xmlns:mc="http://schemas.openxmlformats.org/markup-compatibility/2006">
    <mc:Choice Requires="x15">
      <x15ac:absPath xmlns:x15ac="http://schemas.microsoft.com/office/spreadsheetml/2010/11/ac" url="Z:\DESIGN TEAM\Design Calculation\"/>
    </mc:Choice>
  </mc:AlternateContent>
  <xr:revisionPtr revIDLastSave="0" documentId="13_ncr:1_{252DEE4B-D34E-4CF8-89EA-BF273A70201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Home Page" sheetId="3" r:id="rId1"/>
    <sheet name="Tank" sheetId="1" r:id="rId2"/>
    <sheet name="Dry off Oven" sheetId="2" r:id="rId3"/>
    <sheet name="Curing Oven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D9" i="1"/>
  <c r="D10" i="1" s="1"/>
  <c r="D11" i="1" s="1"/>
  <c r="E18" i="1" s="1"/>
  <c r="D17" i="2"/>
  <c r="D18" i="2"/>
  <c r="D19" i="2" s="1"/>
  <c r="E23" i="2" s="1"/>
  <c r="E35" i="4" l="1"/>
  <c r="E36" i="4" s="1"/>
  <c r="D17" i="4"/>
  <c r="E21" i="4" s="1"/>
  <c r="D9" i="4"/>
  <c r="D10" i="2"/>
  <c r="E31" i="2" s="1"/>
  <c r="H29" i="4"/>
  <c r="G29" i="4"/>
  <c r="I21" i="4"/>
  <c r="G21" i="4"/>
  <c r="G31" i="2"/>
  <c r="H31" i="2"/>
  <c r="I23" i="2"/>
  <c r="G23" i="2"/>
  <c r="E25" i="2" s="1"/>
  <c r="E33" i="2" l="1"/>
  <c r="K34" i="2" s="1"/>
  <c r="E23" i="4"/>
  <c r="E29" i="4"/>
  <c r="E31" i="4" s="1"/>
  <c r="G18" i="1"/>
  <c r="E20" i="1" s="1"/>
  <c r="H32" i="4" l="1"/>
  <c r="E35" i="2"/>
  <c r="E25" i="4"/>
  <c r="E33" i="4"/>
  <c r="E27" i="2"/>
  <c r="E22" i="1"/>
  <c r="K35" i="2" l="1"/>
  <c r="H33" i="4"/>
</calcChain>
</file>

<file path=xl/sharedStrings.xml><?xml version="1.0" encoding="utf-8"?>
<sst xmlns="http://schemas.openxmlformats.org/spreadsheetml/2006/main" count="181" uniqueCount="64">
  <si>
    <t>Tank  Size</t>
  </si>
  <si>
    <t>L</t>
  </si>
  <si>
    <t>W</t>
  </si>
  <si>
    <t>H</t>
  </si>
  <si>
    <t>Unit</t>
  </si>
  <si>
    <t>Dimension</t>
  </si>
  <si>
    <t>mm</t>
  </si>
  <si>
    <t>Volume</t>
  </si>
  <si>
    <t>Heat Load</t>
  </si>
  <si>
    <t xml:space="preserve">x </t>
  </si>
  <si>
    <t>=</t>
  </si>
  <si>
    <t>Water</t>
  </si>
  <si>
    <t>Steel</t>
  </si>
  <si>
    <t>Air</t>
  </si>
  <si>
    <t xml:space="preserve">(Final Temp. - Initial Temp.)  ° C  </t>
  </si>
  <si>
    <t xml:space="preserve"> Kcal / Kg. M3</t>
  </si>
  <si>
    <t>Initial Tem.</t>
  </si>
  <si>
    <t xml:space="preserve">  ° C  </t>
  </si>
  <si>
    <t>Final Tem.</t>
  </si>
  <si>
    <t xml:space="preserve"> Kcal</t>
  </si>
  <si>
    <t>kW</t>
  </si>
  <si>
    <t>m3</t>
  </si>
  <si>
    <t>Dryer  Size</t>
  </si>
  <si>
    <t>Sheet Thick</t>
  </si>
  <si>
    <t>kgs</t>
  </si>
  <si>
    <t>Mass</t>
  </si>
  <si>
    <t>Heat Load Steel</t>
  </si>
  <si>
    <t>x</t>
  </si>
  <si>
    <t>Kg</t>
  </si>
  <si>
    <t>Specific Heat    Kcal / Kg M3</t>
  </si>
  <si>
    <t xml:space="preserve">Specific Heat    Kcal / Kg.   ° C  </t>
  </si>
  <si>
    <t xml:space="preserve">kg  x </t>
  </si>
  <si>
    <t xml:space="preserve">Specific Heat    Kcal / Kg ° C  </t>
  </si>
  <si>
    <t xml:space="preserve"> Kcal / Kg ° C  </t>
  </si>
  <si>
    <t>Heat Capacity</t>
  </si>
  <si>
    <t>kg / ltrs</t>
  </si>
  <si>
    <t>ltrs</t>
  </si>
  <si>
    <t>kg</t>
  </si>
  <si>
    <t>Dencity</t>
  </si>
  <si>
    <t>&lt;&lt;&lt;&lt; Home Page</t>
  </si>
  <si>
    <t xml:space="preserve">kg      x </t>
  </si>
  <si>
    <t>Oven Size</t>
  </si>
  <si>
    <t>kg / m3</t>
  </si>
  <si>
    <t>Steel Mass</t>
  </si>
  <si>
    <t>Job with Basket mass</t>
  </si>
  <si>
    <t>Heat Load Air</t>
  </si>
  <si>
    <t xml:space="preserve">Total </t>
  </si>
  <si>
    <t>Kcal</t>
  </si>
  <si>
    <t>Density</t>
  </si>
  <si>
    <t>Conveyor</t>
  </si>
  <si>
    <t>Job with Jig mass</t>
  </si>
  <si>
    <t>m2</t>
  </si>
  <si>
    <t>Insulation loss</t>
  </si>
  <si>
    <t>50 mm thk</t>
  </si>
  <si>
    <t>100 mm thk</t>
  </si>
  <si>
    <t>150 mm thk</t>
  </si>
  <si>
    <t xml:space="preserve"> W/m2 K</t>
  </si>
  <si>
    <t>Heat loss Insulation</t>
  </si>
  <si>
    <t xml:space="preserve"> kcal / kg ° C  </t>
  </si>
  <si>
    <t>nos</t>
  </si>
  <si>
    <t>Per Hour Qty</t>
  </si>
  <si>
    <t>Job with Basket total mass</t>
  </si>
  <si>
    <t>Inside steel Mass</t>
  </si>
  <si>
    <t>Total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</si>
</sst>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ADLaM Display"/>
    </font>
    <font>
      <b/>
      <sz val="11"/>
      <color theme="0"/>
      <name val="ADLaM Display"/>
    </font>
    <font>
      <b/>
      <sz val="11"/>
      <color theme="7"/>
      <name val="ADLaM Display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ADLaM Display"/>
    </font>
    <font>
      <b/>
      <sz val="14"/>
      <color theme="0"/>
      <name val="ADLaM Display"/>
    </font>
    <font>
      <b/>
      <u/>
      <sz val="14"/>
      <color theme="0"/>
      <name val="ADLaM Display"/>
    </font>
    <font>
      <b/>
      <sz val="18"/>
      <color theme="0"/>
      <name val="Broadway"/>
      <family val="5"/>
    </font>
    <font>
      <sz val="11"/>
      <color theme="1"/>
      <name val="Calibri"/>
      <family val="2"/>
      <scheme val="minor"/>
    </font>
    <font>
      <b/>
      <sz val="14"/>
      <color theme="7"/>
      <name val="ADLaM Display"/>
    </font>
    <font>
      <b/>
      <sz val="16"/>
      <color theme="0"/>
      <name val="ADLaM Display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DLaM Display"/>
    </font>
    <font>
      <b/>
      <sz val="18"/>
      <color theme="0"/>
      <name val="ADLaM Display"/>
    </font>
    <font>
      <sz val="10"/>
      <color theme="1"/>
      <name val="ADLaM Display"/>
    </font>
    <font>
      <sz val="11"/>
      <color theme="0"/>
      <name val="ADLaM Display"/>
    </font>
    <font>
      <b/>
      <sz val="11"/>
      <color theme="5" tint="0.59999389629810485"/>
      <name val="ADLaM Display"/>
    </font>
    <font>
      <sz val="11"/>
      <color rgb="FFFF0000"/>
      <name val="Calibri"/>
      <family val="2"/>
      <scheme val="minor"/>
    </font>
    <font>
      <b/>
      <sz val="22"/>
      <color theme="0"/>
      <name val="Broadway"/>
      <family val="5"/>
    </font>
    <font>
      <b/>
      <u/>
      <sz val="20"/>
      <color theme="0"/>
      <name val="ADLaM Display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78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6" xfId="0" applyFont="1" applyFill="1" applyBorder="1" applyAlignment="1">
      <alignment vertical="center"/>
    </xf>
    <xf numFmtId="0" fontId="2" fillId="3" borderId="0" xfId="0" applyFont="1" applyFill="1" applyAlignment="1">
      <alignment horizontal="right" vertical="center"/>
    </xf>
    <xf numFmtId="0" fontId="7" fillId="8" borderId="1" xfId="0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0" fillId="2" borderId="0" xfId="0" applyFill="1"/>
    <xf numFmtId="0" fontId="9" fillId="3" borderId="0" xfId="1" applyFont="1" applyFill="1" applyBorder="1" applyAlignment="1" applyProtection="1">
      <alignment horizontal="center" vertical="center"/>
    </xf>
    <xf numFmtId="0" fontId="12" fillId="5" borderId="1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2" fillId="10" borderId="1" xfId="0" applyFont="1" applyFill="1" applyBorder="1" applyAlignment="1">
      <alignment vertical="center"/>
    </xf>
    <xf numFmtId="0" fontId="0" fillId="3" borderId="0" xfId="0" applyFill="1"/>
    <xf numFmtId="0" fontId="13" fillId="2" borderId="0" xfId="0" applyFont="1" applyFill="1"/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16" fillId="3" borderId="0" xfId="1" applyFont="1" applyFill="1" applyBorder="1" applyAlignment="1" applyProtection="1">
      <alignment horizontal="center" vertical="center"/>
    </xf>
    <xf numFmtId="0" fontId="15" fillId="2" borderId="0" xfId="0" applyFont="1" applyFill="1" applyAlignment="1">
      <alignment vertical="center"/>
    </xf>
    <xf numFmtId="0" fontId="15" fillId="3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3" borderId="0" xfId="0" applyFont="1" applyFill="1" applyAlignment="1">
      <alignment horizontal="center" vertical="center"/>
    </xf>
    <xf numFmtId="0" fontId="7" fillId="8" borderId="17" xfId="0" applyFont="1" applyFill="1" applyBorder="1" applyAlignment="1" applyProtection="1">
      <alignment horizontal="center" vertical="center"/>
      <protection locked="0"/>
    </xf>
    <xf numFmtId="0" fontId="7" fillId="8" borderId="18" xfId="0" applyFont="1" applyFill="1" applyBorder="1" applyAlignment="1" applyProtection="1">
      <alignment horizontal="center" vertical="center"/>
      <protection locked="0"/>
    </xf>
    <xf numFmtId="0" fontId="7" fillId="8" borderId="17" xfId="0" applyFont="1" applyFill="1" applyBorder="1" applyAlignment="1" applyProtection="1">
      <alignment vertical="center"/>
      <protection locked="0"/>
    </xf>
    <xf numFmtId="0" fontId="7" fillId="4" borderId="17" xfId="0" applyFont="1" applyFill="1" applyBorder="1" applyAlignment="1" applyProtection="1">
      <alignment vertical="center"/>
      <protection locked="0"/>
    </xf>
    <xf numFmtId="0" fontId="19" fillId="3" borderId="0" xfId="0" applyFont="1" applyFill="1" applyAlignment="1">
      <alignment horizontal="right" vertical="center"/>
    </xf>
    <xf numFmtId="0" fontId="20" fillId="3" borderId="0" xfId="0" applyFont="1" applyFill="1" applyProtection="1">
      <protection locked="0"/>
    </xf>
    <xf numFmtId="0" fontId="5" fillId="3" borderId="0" xfId="0" applyFont="1" applyFill="1" applyProtection="1">
      <protection locked="0"/>
    </xf>
    <xf numFmtId="0" fontId="0" fillId="3" borderId="0" xfId="0" applyFill="1" applyProtection="1">
      <protection locked="0"/>
    </xf>
    <xf numFmtId="0" fontId="1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9" fillId="3" borderId="0" xfId="1" applyFont="1" applyFill="1" applyBorder="1" applyAlignment="1" applyProtection="1">
      <alignment vertical="center"/>
      <protection locked="0"/>
    </xf>
    <xf numFmtId="0" fontId="12" fillId="4" borderId="17" xfId="0" applyFont="1" applyFill="1" applyBorder="1" applyAlignment="1" applyProtection="1">
      <alignment horizontal="center" vertical="center"/>
      <protection locked="0"/>
    </xf>
    <xf numFmtId="0" fontId="7" fillId="4" borderId="17" xfId="0" applyFont="1" applyFill="1" applyBorder="1" applyAlignment="1">
      <alignment horizontal="center" vertical="center"/>
    </xf>
    <xf numFmtId="0" fontId="12" fillId="9" borderId="17" xfId="0" applyFont="1" applyFill="1" applyBorder="1" applyAlignment="1">
      <alignment horizontal="center" vertical="center"/>
    </xf>
    <xf numFmtId="164" fontId="7" fillId="10" borderId="1" xfId="2" applyNumberFormat="1" applyFont="1" applyFill="1" applyBorder="1" applyAlignment="1">
      <alignment vertical="center"/>
    </xf>
    <xf numFmtId="0" fontId="7" fillId="10" borderId="1" xfId="0" applyFont="1" applyFill="1" applyBorder="1" applyAlignment="1">
      <alignment horizontal="center" vertical="center"/>
    </xf>
    <xf numFmtId="0" fontId="7" fillId="4" borderId="24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3" borderId="0" xfId="0" applyFont="1" applyFill="1" applyAlignment="1">
      <alignment horizontal="center" vertical="center"/>
    </xf>
    <xf numFmtId="0" fontId="6" fillId="6" borderId="10" xfId="0" applyFont="1" applyFill="1" applyBorder="1" applyAlignment="1">
      <alignment horizontal="left" vertical="center"/>
    </xf>
    <xf numFmtId="0" fontId="6" fillId="6" borderId="11" xfId="0" applyFont="1" applyFill="1" applyBorder="1" applyAlignment="1">
      <alignment horizontal="left" vertical="center"/>
    </xf>
    <xf numFmtId="0" fontId="9" fillId="7" borderId="10" xfId="1" applyFont="1" applyFill="1" applyBorder="1" applyAlignment="1" applyProtection="1">
      <alignment horizontal="center" vertical="center"/>
      <protection locked="0"/>
    </xf>
    <xf numFmtId="0" fontId="4" fillId="7" borderId="11" xfId="1" applyFill="1" applyBorder="1" applyAlignment="1" applyProtection="1">
      <alignment horizontal="center" vertical="center"/>
      <protection locked="0"/>
    </xf>
    <xf numFmtId="0" fontId="21" fillId="7" borderId="10" xfId="1" applyFont="1" applyFill="1" applyBorder="1" applyAlignment="1" applyProtection="1">
      <alignment horizontal="center" vertical="center"/>
      <protection locked="0"/>
    </xf>
    <xf numFmtId="0" fontId="21" fillId="7" borderId="11" xfId="1" applyFont="1" applyFill="1" applyBorder="1" applyAlignment="1" applyProtection="1">
      <alignment horizontal="center" vertical="center"/>
      <protection locked="0"/>
    </xf>
    <xf numFmtId="0" fontId="22" fillId="5" borderId="23" xfId="0" applyFont="1" applyFill="1" applyBorder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7" fillId="10" borderId="17" xfId="0" applyFont="1" applyFill="1" applyBorder="1" applyAlignment="1">
      <alignment horizontal="center" vertical="center"/>
    </xf>
    <xf numFmtId="0" fontId="6" fillId="11" borderId="13" xfId="0" applyFont="1" applyFill="1" applyBorder="1" applyAlignment="1">
      <alignment horizontal="left" vertical="center"/>
    </xf>
    <xf numFmtId="0" fontId="6" fillId="11" borderId="14" xfId="0" applyFont="1" applyFill="1" applyBorder="1" applyAlignment="1">
      <alignment horizontal="left" vertical="center"/>
    </xf>
    <xf numFmtId="0" fontId="6" fillId="11" borderId="15" xfId="0" applyFont="1" applyFill="1" applyBorder="1" applyAlignment="1">
      <alignment horizontal="left" vertical="center"/>
    </xf>
    <xf numFmtId="0" fontId="6" fillId="11" borderId="16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6" fillId="7" borderId="12" xfId="1" applyFont="1" applyFill="1" applyBorder="1" applyAlignment="1" applyProtection="1">
      <alignment horizontal="center" vertical="center"/>
      <protection locked="0"/>
    </xf>
    <xf numFmtId="0" fontId="16" fillId="7" borderId="11" xfId="1" applyFont="1" applyFill="1" applyBorder="1" applyAlignment="1" applyProtection="1">
      <alignment horizontal="center" vertical="center"/>
      <protection locked="0"/>
    </xf>
    <xf numFmtId="0" fontId="6" fillId="11" borderId="10" xfId="0" applyFont="1" applyFill="1" applyBorder="1" applyAlignment="1">
      <alignment horizontal="left" vertical="center"/>
    </xf>
    <xf numFmtId="0" fontId="6" fillId="11" borderId="1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7" fillId="10" borderId="19" xfId="0" applyFont="1" applyFill="1" applyBorder="1" applyAlignment="1">
      <alignment horizontal="center" vertical="center"/>
    </xf>
    <xf numFmtId="0" fontId="7" fillId="10" borderId="20" xfId="0" applyFont="1" applyFill="1" applyBorder="1" applyAlignment="1">
      <alignment horizontal="center" vertical="center"/>
    </xf>
    <xf numFmtId="0" fontId="12" fillId="9" borderId="21" xfId="0" applyFont="1" applyFill="1" applyBorder="1" applyAlignment="1">
      <alignment horizontal="right" vertical="center"/>
    </xf>
    <xf numFmtId="0" fontId="12" fillId="9" borderId="22" xfId="0" applyFont="1" applyFill="1" applyBorder="1" applyAlignment="1">
      <alignment horizontal="right" vertic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Dry off Oven'!A1"/><Relationship Id="rId2" Type="http://schemas.openxmlformats.org/officeDocument/2006/relationships/image" Target="../media/image1.png"/><Relationship Id="rId1" Type="http://schemas.openxmlformats.org/officeDocument/2006/relationships/hyperlink" Target="#Tank!A1"/><Relationship Id="rId4" Type="http://schemas.openxmlformats.org/officeDocument/2006/relationships/hyperlink" Target="#'CURING OVEN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'Home Pag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3291642</xdr:colOff>
      <xdr:row>0</xdr:row>
      <xdr:rowOff>1202095</xdr:rowOff>
    </xdr:from>
    <xdr:to>
      <xdr:col>0</xdr:col>
      <xdr:colOff>3575430</xdr:colOff>
      <xdr:row>0</xdr:row>
      <xdr:rowOff>1779038</xdr:rowOff>
    </xdr:to>
    <xdr:pic>
      <xdr:nvPicPr>
        <xdr:cNvPr id="40" name="Pictur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607CBC-313E-4FE7-991F-72522F282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67282">
          <a:off x="3145064" y="1348673"/>
          <a:ext cx="576943" cy="283788"/>
        </a:xfrm>
        <a:prstGeom prst="rect">
          <a:avLst/>
        </a:prstGeom>
      </xdr:spPr>
    </xdr:pic>
    <xdr:clientData/>
  </xdr:twoCellAnchor>
  <xdr:twoCellAnchor>
    <xdr:from>
      <xdr:col>5</xdr:col>
      <xdr:colOff>342307</xdr:colOff>
      <xdr:row>3</xdr:row>
      <xdr:rowOff>69624</xdr:rowOff>
    </xdr:from>
    <xdr:to>
      <xdr:col>14</xdr:col>
      <xdr:colOff>249521</xdr:colOff>
      <xdr:row>32</xdr:row>
      <xdr:rowOff>96742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8EC0ED-9190-0ABC-0CC8-2903EC88FF0F}"/>
            </a:ext>
          </a:extLst>
        </xdr:cNvPr>
        <xdr:cNvGrpSpPr/>
      </xdr:nvGrpSpPr>
      <xdr:grpSpPr>
        <a:xfrm>
          <a:off x="3314107" y="641124"/>
          <a:ext cx="5165014" cy="5551618"/>
          <a:chOff x="3016777" y="502919"/>
          <a:chExt cx="5442920" cy="5443295"/>
        </a:xfrm>
      </xdr:grpSpPr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D24748E4-2392-3337-C3CB-5F59C709D622}"/>
              </a:ext>
            </a:extLst>
          </xdr:cNvPr>
          <xdr:cNvGrpSpPr/>
        </xdr:nvGrpSpPr>
        <xdr:grpSpPr>
          <a:xfrm>
            <a:off x="3016777" y="502919"/>
            <a:ext cx="5442920" cy="5443295"/>
            <a:chOff x="3016777" y="502919"/>
            <a:chExt cx="5442920" cy="5443295"/>
          </a:xfrm>
        </xdr:grpSpPr>
        <xdr:grpSp>
          <xdr:nvGrpSpPr>
            <xdr:cNvPr id="27" name="Group 26">
              <a:extLst>
                <a:ext uri="{FF2B5EF4-FFF2-40B4-BE49-F238E27FC236}">
                  <a16:creationId xmlns:a16="http://schemas.microsoft.com/office/drawing/2014/main" id="{98750129-5881-6637-CDC9-650EFF65732B}"/>
                </a:ext>
              </a:extLst>
            </xdr:cNvPr>
            <xdr:cNvGrpSpPr/>
          </xdr:nvGrpSpPr>
          <xdr:grpSpPr>
            <a:xfrm>
              <a:off x="3016777" y="502919"/>
              <a:ext cx="5442920" cy="5443295"/>
              <a:chOff x="3016777" y="502919"/>
              <a:chExt cx="5442920" cy="5443295"/>
            </a:xfrm>
          </xdr:grpSpPr>
          <xdr:grpSp>
            <xdr:nvGrpSpPr>
              <xdr:cNvPr id="26" name="Group 25">
                <a:extLst>
                  <a:ext uri="{FF2B5EF4-FFF2-40B4-BE49-F238E27FC236}">
                    <a16:creationId xmlns:a16="http://schemas.microsoft.com/office/drawing/2014/main" id="{0EC35473-E707-EB90-6F62-5BC31DFF27B1}"/>
                  </a:ext>
                </a:extLst>
              </xdr:cNvPr>
              <xdr:cNvGrpSpPr/>
            </xdr:nvGrpSpPr>
            <xdr:grpSpPr>
              <a:xfrm>
                <a:off x="3016777" y="502919"/>
                <a:ext cx="5442920" cy="5443295"/>
                <a:chOff x="3016777" y="502919"/>
                <a:chExt cx="5442920" cy="5443295"/>
              </a:xfrm>
            </xdr:grpSpPr>
            <xdr:grpSp>
              <xdr:nvGrpSpPr>
                <xdr:cNvPr id="25" name="Group 24">
                  <a:extLst>
                    <a:ext uri="{FF2B5EF4-FFF2-40B4-BE49-F238E27FC236}">
                      <a16:creationId xmlns:a16="http://schemas.microsoft.com/office/drawing/2014/main" id="{900BCE7B-C98A-D747-F77F-00A22F2E1043}"/>
                    </a:ext>
                  </a:extLst>
                </xdr:cNvPr>
                <xdr:cNvGrpSpPr/>
              </xdr:nvGrpSpPr>
              <xdr:grpSpPr>
                <a:xfrm>
                  <a:off x="3016777" y="502919"/>
                  <a:ext cx="5442920" cy="5443295"/>
                  <a:chOff x="3016777" y="502919"/>
                  <a:chExt cx="5442920" cy="5443295"/>
                </a:xfrm>
              </xdr:grpSpPr>
              <xdr:grpSp>
                <xdr:nvGrpSpPr>
                  <xdr:cNvPr id="23" name="Group 22">
                    <a:extLst>
                      <a:ext uri="{FF2B5EF4-FFF2-40B4-BE49-F238E27FC236}">
                        <a16:creationId xmlns:a16="http://schemas.microsoft.com/office/drawing/2014/main" id="{6274C4BA-7A2E-A24E-92E4-7360B012C61A}"/>
                      </a:ext>
                    </a:extLst>
                  </xdr:cNvPr>
                  <xdr:cNvGrpSpPr/>
                </xdr:nvGrpSpPr>
                <xdr:grpSpPr>
                  <a:xfrm>
                    <a:off x="3016777" y="502919"/>
                    <a:ext cx="5442920" cy="5443294"/>
                    <a:chOff x="10151189" y="502919"/>
                    <a:chExt cx="5442920" cy="5443294"/>
                  </a:xfrm>
                </xdr:grpSpPr>
                <xdr:sp macro="[1]!Menu_Reports" textlink="">
                  <xdr:nvSpPr>
                    <xdr:cNvPr id="16" name="Freeform 9">
                      <a:extLst>
                        <a:ext uri="{FF2B5EF4-FFF2-40B4-BE49-F238E27FC236}">
                          <a16:creationId xmlns:a16="http://schemas.microsoft.com/office/drawing/2014/main" id="{8274A215-7253-26FA-917D-A890AF275039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12872649" y="2812798"/>
                      <a:ext cx="2721460" cy="3133415"/>
                    </a:xfrm>
                    <a:custGeom>
                      <a:avLst/>
                      <a:gdLst>
                        <a:gd name="T0" fmla="*/ 572 w 572"/>
                        <a:gd name="T1" fmla="*/ 86 h 659"/>
                        <a:gd name="T2" fmla="*/ 0 w 572"/>
                        <a:gd name="T3" fmla="*/ 659 h 659"/>
                        <a:gd name="T4" fmla="*/ 0 w 572"/>
                        <a:gd name="T5" fmla="*/ 556 h 659"/>
                        <a:gd name="T6" fmla="*/ 28 w 572"/>
                        <a:gd name="T7" fmla="*/ 563 h 659"/>
                        <a:gd name="T8" fmla="*/ 90 w 572"/>
                        <a:gd name="T9" fmla="*/ 501 h 659"/>
                        <a:gd name="T10" fmla="*/ 28 w 572"/>
                        <a:gd name="T11" fmla="*/ 438 h 659"/>
                        <a:gd name="T12" fmla="*/ 0 w 572"/>
                        <a:gd name="T13" fmla="*/ 445 h 659"/>
                        <a:gd name="T14" fmla="*/ 0 w 572"/>
                        <a:gd name="T15" fmla="*/ 351 h 659"/>
                        <a:gd name="T16" fmla="*/ 265 w 572"/>
                        <a:gd name="T17" fmla="*/ 86 h 659"/>
                        <a:gd name="T18" fmla="*/ 343 w 572"/>
                        <a:gd name="T19" fmla="*/ 86 h 659"/>
                        <a:gd name="T20" fmla="*/ 338 w 572"/>
                        <a:gd name="T21" fmla="*/ 63 h 659"/>
                        <a:gd name="T22" fmla="*/ 401 w 572"/>
                        <a:gd name="T23" fmla="*/ 0 h 659"/>
                        <a:gd name="T24" fmla="*/ 464 w 572"/>
                        <a:gd name="T25" fmla="*/ 63 h 659"/>
                        <a:gd name="T26" fmla="*/ 459 w 572"/>
                        <a:gd name="T27" fmla="*/ 86 h 659"/>
                        <a:gd name="T28" fmla="*/ 572 w 572"/>
                        <a:gd name="T29" fmla="*/ 86 h 659"/>
                      </a:gdLst>
                      <a:ahLst/>
                      <a:cxnLst>
                        <a:cxn ang="0">
                          <a:pos x="T0" y="T1"/>
                        </a:cxn>
                        <a:cxn ang="0">
                          <a:pos x="T2" y="T3"/>
                        </a:cxn>
                        <a:cxn ang="0">
                          <a:pos x="T4" y="T5"/>
                        </a:cxn>
                        <a:cxn ang="0">
                          <a:pos x="T6" y="T7"/>
                        </a:cxn>
                        <a:cxn ang="0">
                          <a:pos x="T8" y="T9"/>
                        </a:cxn>
                        <a:cxn ang="0">
                          <a:pos x="T10" y="T11"/>
                        </a:cxn>
                        <a:cxn ang="0">
                          <a:pos x="T12" y="T13"/>
                        </a:cxn>
                        <a:cxn ang="0">
                          <a:pos x="T14" y="T15"/>
                        </a:cxn>
                        <a:cxn ang="0">
                          <a:pos x="T16" y="T17"/>
                        </a:cxn>
                        <a:cxn ang="0">
                          <a:pos x="T18" y="T19"/>
                        </a:cxn>
                        <a:cxn ang="0">
                          <a:pos x="T20" y="T21"/>
                        </a:cxn>
                        <a:cxn ang="0">
                          <a:pos x="T22" y="T23"/>
                        </a:cxn>
                        <a:cxn ang="0">
                          <a:pos x="T24" y="T25"/>
                        </a:cxn>
                        <a:cxn ang="0">
                          <a:pos x="T26" y="T27"/>
                        </a:cxn>
                        <a:cxn ang="0">
                          <a:pos x="T28" y="T29"/>
                        </a:cxn>
                      </a:cxnLst>
                      <a:rect l="0" t="0" r="r" b="b"/>
                      <a:pathLst>
                        <a:path w="572" h="659">
                          <a:moveTo>
                            <a:pt x="572" y="86"/>
                          </a:moveTo>
                          <a:cubicBezTo>
                            <a:pt x="572" y="402"/>
                            <a:pt x="316" y="659"/>
                            <a:pt x="0" y="659"/>
                          </a:cubicBezTo>
                          <a:cubicBezTo>
                            <a:pt x="0" y="556"/>
                            <a:pt x="0" y="556"/>
                            <a:pt x="0" y="556"/>
                          </a:cubicBezTo>
                          <a:cubicBezTo>
                            <a:pt x="8" y="561"/>
                            <a:pt x="18" y="563"/>
                            <a:pt x="28" y="563"/>
                          </a:cubicBezTo>
                          <a:cubicBezTo>
                            <a:pt x="63" y="563"/>
                            <a:pt x="90" y="535"/>
                            <a:pt x="90" y="501"/>
                          </a:cubicBezTo>
                          <a:cubicBezTo>
                            <a:pt x="90" y="466"/>
                            <a:pt x="63" y="438"/>
                            <a:pt x="28" y="438"/>
                          </a:cubicBezTo>
                          <a:cubicBezTo>
                            <a:pt x="18" y="438"/>
                            <a:pt x="8" y="440"/>
                            <a:pt x="0" y="445"/>
                          </a:cubicBezTo>
                          <a:cubicBezTo>
                            <a:pt x="0" y="351"/>
                            <a:pt x="0" y="351"/>
                            <a:pt x="0" y="351"/>
                          </a:cubicBezTo>
                          <a:cubicBezTo>
                            <a:pt x="146" y="351"/>
                            <a:pt x="265" y="232"/>
                            <a:pt x="265" y="86"/>
                          </a:cubicBezTo>
                          <a:cubicBezTo>
                            <a:pt x="343" y="86"/>
                            <a:pt x="343" y="86"/>
                            <a:pt x="343" y="86"/>
                          </a:cubicBezTo>
                          <a:cubicBezTo>
                            <a:pt x="340" y="79"/>
                            <a:pt x="338" y="71"/>
                            <a:pt x="338" y="63"/>
                          </a:cubicBezTo>
                          <a:cubicBezTo>
                            <a:pt x="338" y="28"/>
                            <a:pt x="366" y="0"/>
                            <a:pt x="401" y="0"/>
                          </a:cubicBezTo>
                          <a:cubicBezTo>
                            <a:pt x="436" y="0"/>
                            <a:pt x="464" y="28"/>
                            <a:pt x="464" y="63"/>
                          </a:cubicBezTo>
                          <a:cubicBezTo>
                            <a:pt x="464" y="71"/>
                            <a:pt x="462" y="79"/>
                            <a:pt x="459" y="86"/>
                          </a:cubicBezTo>
                          <a:lnTo>
                            <a:pt x="572" y="86"/>
                          </a:lnTo>
                          <a:close/>
                        </a:path>
                      </a:pathLst>
                    </a:custGeom>
                    <a:solidFill>
                      <a:srgbClr val="660066"/>
                    </a:solidFill>
                    <a:ln>
                      <a:noFill/>
                    </a:ln>
                    <a:effectLst>
                      <a:outerShdw blurRad="44450" dist="27940" dir="5400000" algn="ctr">
                        <a:srgbClr val="000000">
                          <a:alpha val="32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balanced" dir="t">
                        <a:rot lat="0" lon="0" rev="8700000"/>
                      </a:lightRig>
                    </a:scene3d>
                    <a:sp3d>
                      <a:bevelT w="190500" h="38100"/>
                    </a:sp3d>
                  </xdr:spPr>
                  <xdr:txBody>
                    <a:bodyPr vert="horz" wrap="square" lIns="109728" tIns="54864" rIns="109728" bIns="54864" numCol="1" anchor="t" anchorCtr="0" compatLnSpc="1">
                      <a:prstTxWarp prst="textNoShape">
                        <a:avLst/>
                      </a:prstTxWarp>
                    </a:bodyPr>
                    <a:lstStyle>
                      <a:defPPr>
                        <a:defRPr lang="en-US"/>
                      </a:defPPr>
                      <a:lvl1pPr marL="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endParaRPr lang="en-US" sz="2644"/>
                    </a:p>
                  </xdr:txBody>
                </xdr:sp>
                <xdr:sp macro="[1]!Menu_Invoice" textlink="">
                  <xdr:nvSpPr>
                    <xdr:cNvPr id="17" name="Freeform 10">
                      <a:extLst>
                        <a:ext uri="{FF2B5EF4-FFF2-40B4-BE49-F238E27FC236}">
                          <a16:creationId xmlns:a16="http://schemas.microsoft.com/office/drawing/2014/main" id="{AF425812-0514-4310-00F2-CE3355D911FF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12449782" y="502922"/>
                      <a:ext cx="3144325" cy="2720658"/>
                    </a:xfrm>
                    <a:custGeom>
                      <a:avLst/>
                      <a:gdLst>
                        <a:gd name="T0" fmla="*/ 548 w 661"/>
                        <a:gd name="T1" fmla="*/ 573 h 573"/>
                        <a:gd name="T2" fmla="*/ 553 w 661"/>
                        <a:gd name="T3" fmla="*/ 550 h 573"/>
                        <a:gd name="T4" fmla="*/ 490 w 661"/>
                        <a:gd name="T5" fmla="*/ 487 h 573"/>
                        <a:gd name="T6" fmla="*/ 427 w 661"/>
                        <a:gd name="T7" fmla="*/ 550 h 573"/>
                        <a:gd name="T8" fmla="*/ 432 w 661"/>
                        <a:gd name="T9" fmla="*/ 573 h 573"/>
                        <a:gd name="T10" fmla="*/ 354 w 661"/>
                        <a:gd name="T11" fmla="*/ 573 h 573"/>
                        <a:gd name="T12" fmla="*/ 89 w 661"/>
                        <a:gd name="T13" fmla="*/ 308 h 573"/>
                        <a:gd name="T14" fmla="*/ 89 w 661"/>
                        <a:gd name="T15" fmla="*/ 209 h 573"/>
                        <a:gd name="T16" fmla="*/ 63 w 661"/>
                        <a:gd name="T17" fmla="*/ 215 h 573"/>
                        <a:gd name="T18" fmla="*/ 0 w 661"/>
                        <a:gd name="T19" fmla="*/ 152 h 573"/>
                        <a:gd name="T20" fmla="*/ 63 w 661"/>
                        <a:gd name="T21" fmla="*/ 90 h 573"/>
                        <a:gd name="T22" fmla="*/ 89 w 661"/>
                        <a:gd name="T23" fmla="*/ 96 h 573"/>
                        <a:gd name="T24" fmla="*/ 89 w 661"/>
                        <a:gd name="T25" fmla="*/ 0 h 573"/>
                        <a:gd name="T26" fmla="*/ 661 w 661"/>
                        <a:gd name="T27" fmla="*/ 573 h 573"/>
                        <a:gd name="T28" fmla="*/ 548 w 661"/>
                        <a:gd name="T29" fmla="*/ 573 h 573"/>
                      </a:gdLst>
                      <a:ahLst/>
                      <a:cxnLst>
                        <a:cxn ang="0">
                          <a:pos x="T0" y="T1"/>
                        </a:cxn>
                        <a:cxn ang="0">
                          <a:pos x="T2" y="T3"/>
                        </a:cxn>
                        <a:cxn ang="0">
                          <a:pos x="T4" y="T5"/>
                        </a:cxn>
                        <a:cxn ang="0">
                          <a:pos x="T6" y="T7"/>
                        </a:cxn>
                        <a:cxn ang="0">
                          <a:pos x="T8" y="T9"/>
                        </a:cxn>
                        <a:cxn ang="0">
                          <a:pos x="T10" y="T11"/>
                        </a:cxn>
                        <a:cxn ang="0">
                          <a:pos x="T12" y="T13"/>
                        </a:cxn>
                        <a:cxn ang="0">
                          <a:pos x="T14" y="T15"/>
                        </a:cxn>
                        <a:cxn ang="0">
                          <a:pos x="T16" y="T17"/>
                        </a:cxn>
                        <a:cxn ang="0">
                          <a:pos x="T18" y="T19"/>
                        </a:cxn>
                        <a:cxn ang="0">
                          <a:pos x="T20" y="T21"/>
                        </a:cxn>
                        <a:cxn ang="0">
                          <a:pos x="T22" y="T23"/>
                        </a:cxn>
                        <a:cxn ang="0">
                          <a:pos x="T24" y="T25"/>
                        </a:cxn>
                        <a:cxn ang="0">
                          <a:pos x="T26" y="T27"/>
                        </a:cxn>
                        <a:cxn ang="0">
                          <a:pos x="T28" y="T29"/>
                        </a:cxn>
                      </a:cxnLst>
                      <a:rect l="0" t="0" r="r" b="b"/>
                      <a:pathLst>
                        <a:path w="661" h="573">
                          <a:moveTo>
                            <a:pt x="548" y="573"/>
                          </a:moveTo>
                          <a:cubicBezTo>
                            <a:pt x="551" y="566"/>
                            <a:pt x="553" y="558"/>
                            <a:pt x="553" y="550"/>
                          </a:cubicBezTo>
                          <a:cubicBezTo>
                            <a:pt x="553" y="515"/>
                            <a:pt x="525" y="487"/>
                            <a:pt x="490" y="487"/>
                          </a:cubicBezTo>
                          <a:cubicBezTo>
                            <a:pt x="455" y="487"/>
                            <a:pt x="427" y="515"/>
                            <a:pt x="427" y="550"/>
                          </a:cubicBezTo>
                          <a:cubicBezTo>
                            <a:pt x="427" y="558"/>
                            <a:pt x="429" y="566"/>
                            <a:pt x="432" y="573"/>
                          </a:cubicBezTo>
                          <a:cubicBezTo>
                            <a:pt x="354" y="573"/>
                            <a:pt x="354" y="573"/>
                            <a:pt x="354" y="573"/>
                          </a:cubicBezTo>
                          <a:cubicBezTo>
                            <a:pt x="354" y="427"/>
                            <a:pt x="235" y="308"/>
                            <a:pt x="89" y="308"/>
                          </a:cubicBezTo>
                          <a:cubicBezTo>
                            <a:pt x="89" y="209"/>
                            <a:pt x="89" y="209"/>
                            <a:pt x="89" y="209"/>
                          </a:cubicBezTo>
                          <a:cubicBezTo>
                            <a:pt x="81" y="213"/>
                            <a:pt x="72" y="215"/>
                            <a:pt x="63" y="215"/>
                          </a:cubicBezTo>
                          <a:cubicBezTo>
                            <a:pt x="28" y="215"/>
                            <a:pt x="0" y="187"/>
                            <a:pt x="0" y="152"/>
                          </a:cubicBezTo>
                          <a:cubicBezTo>
                            <a:pt x="0" y="118"/>
                            <a:pt x="28" y="90"/>
                            <a:pt x="63" y="90"/>
                          </a:cubicBezTo>
                          <a:cubicBezTo>
                            <a:pt x="72" y="90"/>
                            <a:pt x="81" y="92"/>
                            <a:pt x="89" y="96"/>
                          </a:cubicBezTo>
                          <a:cubicBezTo>
                            <a:pt x="89" y="0"/>
                            <a:pt x="89" y="0"/>
                            <a:pt x="89" y="0"/>
                          </a:cubicBezTo>
                          <a:cubicBezTo>
                            <a:pt x="405" y="0"/>
                            <a:pt x="661" y="257"/>
                            <a:pt x="661" y="573"/>
                          </a:cubicBezTo>
                          <a:lnTo>
                            <a:pt x="548" y="573"/>
                          </a:lnTo>
                          <a:close/>
                        </a:path>
                      </a:pathLst>
                    </a:custGeom>
                    <a:solidFill>
                      <a:schemeClr val="accent4">
                        <a:lumMod val="75000"/>
                      </a:schemeClr>
                    </a:solidFill>
                    <a:ln>
                      <a:noFill/>
                    </a:ln>
                    <a:effectLst>
                      <a:outerShdw blurRad="44450" dist="27940" dir="5400000" algn="ctr">
                        <a:srgbClr val="000000">
                          <a:alpha val="32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balanced" dir="t">
                        <a:rot lat="0" lon="0" rev="8700000"/>
                      </a:lightRig>
                    </a:scene3d>
                    <a:sp3d>
                      <a:bevelT w="190500" h="38100"/>
                    </a:sp3d>
                  </xdr:spPr>
                  <xdr:txBody>
                    <a:bodyPr vert="horz" wrap="square" lIns="109728" tIns="54864" rIns="109728" bIns="54864" numCol="1" anchor="t" anchorCtr="0" compatLnSpc="1">
                      <a:prstTxWarp prst="textNoShape">
                        <a:avLst/>
                      </a:prstTxWarp>
                    </a:bodyPr>
                    <a:lstStyle>
                      <a:defPPr>
                        <a:defRPr lang="en-US"/>
                      </a:defPPr>
                      <a:lvl1pPr marL="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endParaRPr lang="en-US" sz="2644"/>
                    </a:p>
                  </xdr:txBody>
                </xdr:sp>
                <xdr:sp macro="[1]!Menu_IncomeExpense" textlink="">
                  <xdr:nvSpPr>
                    <xdr:cNvPr id="18" name="Freeform 11">
                      <a:extLst>
                        <a:ext uri="{FF2B5EF4-FFF2-40B4-BE49-F238E27FC236}">
                          <a16:creationId xmlns:a16="http://schemas.microsoft.com/office/drawing/2014/main" id="{14E5B388-55D8-60D9-FCB0-2E35149EE02A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10151189" y="502919"/>
                      <a:ext cx="2721460" cy="3150218"/>
                    </a:xfrm>
                    <a:custGeom>
                      <a:avLst/>
                      <a:gdLst>
                        <a:gd name="T0" fmla="*/ 483 w 572"/>
                        <a:gd name="T1" fmla="*/ 152 h 664"/>
                        <a:gd name="T2" fmla="*/ 546 w 572"/>
                        <a:gd name="T3" fmla="*/ 215 h 664"/>
                        <a:gd name="T4" fmla="*/ 572 w 572"/>
                        <a:gd name="T5" fmla="*/ 209 h 664"/>
                        <a:gd name="T6" fmla="*/ 572 w 572"/>
                        <a:gd name="T7" fmla="*/ 308 h 664"/>
                        <a:gd name="T8" fmla="*/ 307 w 572"/>
                        <a:gd name="T9" fmla="*/ 573 h 664"/>
                        <a:gd name="T10" fmla="*/ 201 w 572"/>
                        <a:gd name="T11" fmla="*/ 573 h 664"/>
                        <a:gd name="T12" fmla="*/ 208 w 572"/>
                        <a:gd name="T13" fmla="*/ 602 h 664"/>
                        <a:gd name="T14" fmla="*/ 146 w 572"/>
                        <a:gd name="T15" fmla="*/ 664 h 664"/>
                        <a:gd name="T16" fmla="*/ 83 w 572"/>
                        <a:gd name="T17" fmla="*/ 602 h 664"/>
                        <a:gd name="T18" fmla="*/ 90 w 572"/>
                        <a:gd name="T19" fmla="*/ 573 h 664"/>
                        <a:gd name="T20" fmla="*/ 0 w 572"/>
                        <a:gd name="T21" fmla="*/ 573 h 664"/>
                        <a:gd name="T22" fmla="*/ 572 w 572"/>
                        <a:gd name="T23" fmla="*/ 0 h 664"/>
                        <a:gd name="T24" fmla="*/ 572 w 572"/>
                        <a:gd name="T25" fmla="*/ 96 h 664"/>
                        <a:gd name="T26" fmla="*/ 546 w 572"/>
                        <a:gd name="T27" fmla="*/ 90 h 664"/>
                        <a:gd name="T28" fmla="*/ 483 w 572"/>
                        <a:gd name="T29" fmla="*/ 152 h 664"/>
                      </a:gdLst>
                      <a:ahLst/>
                      <a:cxnLst>
                        <a:cxn ang="0">
                          <a:pos x="T0" y="T1"/>
                        </a:cxn>
                        <a:cxn ang="0">
                          <a:pos x="T2" y="T3"/>
                        </a:cxn>
                        <a:cxn ang="0">
                          <a:pos x="T4" y="T5"/>
                        </a:cxn>
                        <a:cxn ang="0">
                          <a:pos x="T6" y="T7"/>
                        </a:cxn>
                        <a:cxn ang="0">
                          <a:pos x="T8" y="T9"/>
                        </a:cxn>
                        <a:cxn ang="0">
                          <a:pos x="T10" y="T11"/>
                        </a:cxn>
                        <a:cxn ang="0">
                          <a:pos x="T12" y="T13"/>
                        </a:cxn>
                        <a:cxn ang="0">
                          <a:pos x="T14" y="T15"/>
                        </a:cxn>
                        <a:cxn ang="0">
                          <a:pos x="T16" y="T17"/>
                        </a:cxn>
                        <a:cxn ang="0">
                          <a:pos x="T18" y="T19"/>
                        </a:cxn>
                        <a:cxn ang="0">
                          <a:pos x="T20" y="T21"/>
                        </a:cxn>
                        <a:cxn ang="0">
                          <a:pos x="T22" y="T23"/>
                        </a:cxn>
                        <a:cxn ang="0">
                          <a:pos x="T24" y="T25"/>
                        </a:cxn>
                        <a:cxn ang="0">
                          <a:pos x="T26" y="T27"/>
                        </a:cxn>
                        <a:cxn ang="0">
                          <a:pos x="T28" y="T29"/>
                        </a:cxn>
                      </a:cxnLst>
                      <a:rect l="0" t="0" r="r" b="b"/>
                      <a:pathLst>
                        <a:path w="572" h="664">
                          <a:moveTo>
                            <a:pt x="483" y="152"/>
                          </a:moveTo>
                          <a:cubicBezTo>
                            <a:pt x="483" y="187"/>
                            <a:pt x="511" y="215"/>
                            <a:pt x="546" y="215"/>
                          </a:cubicBezTo>
                          <a:cubicBezTo>
                            <a:pt x="555" y="215"/>
                            <a:pt x="564" y="213"/>
                            <a:pt x="572" y="209"/>
                          </a:cubicBezTo>
                          <a:cubicBezTo>
                            <a:pt x="572" y="308"/>
                            <a:pt x="572" y="308"/>
                            <a:pt x="572" y="308"/>
                          </a:cubicBezTo>
                          <a:cubicBezTo>
                            <a:pt x="426" y="308"/>
                            <a:pt x="307" y="427"/>
                            <a:pt x="307" y="573"/>
                          </a:cubicBezTo>
                          <a:cubicBezTo>
                            <a:pt x="201" y="573"/>
                            <a:pt x="201" y="573"/>
                            <a:pt x="201" y="573"/>
                          </a:cubicBezTo>
                          <a:cubicBezTo>
                            <a:pt x="206" y="582"/>
                            <a:pt x="208" y="591"/>
                            <a:pt x="208" y="602"/>
                          </a:cubicBezTo>
                          <a:cubicBezTo>
                            <a:pt x="208" y="636"/>
                            <a:pt x="180" y="664"/>
                            <a:pt x="146" y="664"/>
                          </a:cubicBezTo>
                          <a:cubicBezTo>
                            <a:pt x="111" y="664"/>
                            <a:pt x="83" y="636"/>
                            <a:pt x="83" y="602"/>
                          </a:cubicBezTo>
                          <a:cubicBezTo>
                            <a:pt x="83" y="591"/>
                            <a:pt x="85" y="582"/>
                            <a:pt x="90" y="573"/>
                          </a:cubicBezTo>
                          <a:cubicBezTo>
                            <a:pt x="0" y="573"/>
                            <a:pt x="0" y="573"/>
                            <a:pt x="0" y="573"/>
                          </a:cubicBezTo>
                          <a:cubicBezTo>
                            <a:pt x="0" y="257"/>
                            <a:pt x="256" y="0"/>
                            <a:pt x="572" y="0"/>
                          </a:cubicBezTo>
                          <a:cubicBezTo>
                            <a:pt x="572" y="96"/>
                            <a:pt x="572" y="96"/>
                            <a:pt x="572" y="96"/>
                          </a:cubicBezTo>
                          <a:cubicBezTo>
                            <a:pt x="564" y="92"/>
                            <a:pt x="555" y="90"/>
                            <a:pt x="546" y="90"/>
                          </a:cubicBezTo>
                          <a:cubicBezTo>
                            <a:pt x="511" y="90"/>
                            <a:pt x="483" y="118"/>
                            <a:pt x="483" y="152"/>
                          </a:cubicBezTo>
                          <a:close/>
                        </a:path>
                      </a:pathLst>
                    </a:custGeom>
                    <a:solidFill>
                      <a:srgbClr val="008000"/>
                    </a:solidFill>
                    <a:ln>
                      <a:noFill/>
                    </a:ln>
                    <a:effectLst>
                      <a:outerShdw blurRad="44450" dist="27940" dir="5400000" algn="ctr">
                        <a:srgbClr val="000000">
                          <a:alpha val="32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balanced" dir="t">
                        <a:rot lat="0" lon="0" rev="8700000"/>
                      </a:lightRig>
                    </a:scene3d>
                    <a:sp3d>
                      <a:bevelT w="190500" h="38100"/>
                    </a:sp3d>
                  </xdr:spPr>
                  <xdr:txBody>
                    <a:bodyPr vert="horz" wrap="square" lIns="109728" tIns="54864" rIns="109728" bIns="54864" numCol="1" anchor="t" anchorCtr="0" compatLnSpc="1">
                      <a:prstTxWarp prst="textNoShape">
                        <a:avLst/>
                      </a:prstTxWarp>
                    </a:bodyPr>
                    <a:lstStyle>
                      <a:defPPr>
                        <a:defRPr lang="en-US"/>
                      </a:defPPr>
                      <a:lvl1pPr marL="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endParaRPr lang="en-US" sz="2644"/>
                    </a:p>
                  </xdr:txBody>
                </xdr:sp>
              </xdr:grpSp>
              <xdr:sp macro="[1]!Menu_Purchase" textlink="">
                <xdr:nvSpPr>
                  <xdr:cNvPr id="15" name="Freeform 8">
                    <a:extLst>
                      <a:ext uri="{FF2B5EF4-FFF2-40B4-BE49-F238E27FC236}">
                        <a16:creationId xmlns:a16="http://schemas.microsoft.com/office/drawing/2014/main" id="{C856C433-2DFD-997B-51AB-2580F133E6DF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3016777" y="3223580"/>
                    <a:ext cx="3149050" cy="2722634"/>
                  </a:xfrm>
                  <a:custGeom>
                    <a:avLst/>
                    <a:gdLst>
                      <a:gd name="T0" fmla="*/ 662 w 662"/>
                      <a:gd name="T1" fmla="*/ 415 h 573"/>
                      <a:gd name="T2" fmla="*/ 600 w 662"/>
                      <a:gd name="T3" fmla="*/ 477 h 573"/>
                      <a:gd name="T4" fmla="*/ 572 w 662"/>
                      <a:gd name="T5" fmla="*/ 470 h 573"/>
                      <a:gd name="T6" fmla="*/ 572 w 662"/>
                      <a:gd name="T7" fmla="*/ 573 h 573"/>
                      <a:gd name="T8" fmla="*/ 0 w 662"/>
                      <a:gd name="T9" fmla="*/ 0 h 573"/>
                      <a:gd name="T10" fmla="*/ 90 w 662"/>
                      <a:gd name="T11" fmla="*/ 0 h 573"/>
                      <a:gd name="T12" fmla="*/ 83 w 662"/>
                      <a:gd name="T13" fmla="*/ 29 h 573"/>
                      <a:gd name="T14" fmla="*/ 146 w 662"/>
                      <a:gd name="T15" fmla="*/ 91 h 573"/>
                      <a:gd name="T16" fmla="*/ 208 w 662"/>
                      <a:gd name="T17" fmla="*/ 29 h 573"/>
                      <a:gd name="T18" fmla="*/ 201 w 662"/>
                      <a:gd name="T19" fmla="*/ 0 h 573"/>
                      <a:gd name="T20" fmla="*/ 307 w 662"/>
                      <a:gd name="T21" fmla="*/ 0 h 573"/>
                      <a:gd name="T22" fmla="*/ 572 w 662"/>
                      <a:gd name="T23" fmla="*/ 265 h 573"/>
                      <a:gd name="T24" fmla="*/ 572 w 662"/>
                      <a:gd name="T25" fmla="*/ 359 h 573"/>
                      <a:gd name="T26" fmla="*/ 600 w 662"/>
                      <a:gd name="T27" fmla="*/ 352 h 573"/>
                      <a:gd name="T28" fmla="*/ 662 w 662"/>
                      <a:gd name="T29" fmla="*/ 415 h 573"/>
                    </a:gdLst>
                    <a:ahLst/>
                    <a:cxnLst>
                      <a:cxn ang="0">
                        <a:pos x="T0" y="T1"/>
                      </a:cxn>
                      <a:cxn ang="0">
                        <a:pos x="T2" y="T3"/>
                      </a:cxn>
                      <a:cxn ang="0">
                        <a:pos x="T4" y="T5"/>
                      </a:cxn>
                      <a:cxn ang="0">
                        <a:pos x="T6" y="T7"/>
                      </a:cxn>
                      <a:cxn ang="0">
                        <a:pos x="T8" y="T9"/>
                      </a:cxn>
                      <a:cxn ang="0">
                        <a:pos x="T10" y="T11"/>
                      </a:cxn>
                      <a:cxn ang="0">
                        <a:pos x="T12" y="T13"/>
                      </a:cxn>
                      <a:cxn ang="0">
                        <a:pos x="T14" y="T15"/>
                      </a:cxn>
                      <a:cxn ang="0">
                        <a:pos x="T16" y="T17"/>
                      </a:cxn>
                      <a:cxn ang="0">
                        <a:pos x="T18" y="T19"/>
                      </a:cxn>
                      <a:cxn ang="0">
                        <a:pos x="T20" y="T21"/>
                      </a:cxn>
                      <a:cxn ang="0">
                        <a:pos x="T22" y="T23"/>
                      </a:cxn>
                      <a:cxn ang="0">
                        <a:pos x="T24" y="T25"/>
                      </a:cxn>
                      <a:cxn ang="0">
                        <a:pos x="T26" y="T27"/>
                      </a:cxn>
                      <a:cxn ang="0">
                        <a:pos x="T28" y="T29"/>
                      </a:cxn>
                    </a:cxnLst>
                    <a:rect l="0" t="0" r="r" b="b"/>
                    <a:pathLst>
                      <a:path w="662" h="573">
                        <a:moveTo>
                          <a:pt x="662" y="415"/>
                        </a:moveTo>
                        <a:cubicBezTo>
                          <a:pt x="662" y="449"/>
                          <a:pt x="635" y="477"/>
                          <a:pt x="600" y="477"/>
                        </a:cubicBezTo>
                        <a:cubicBezTo>
                          <a:pt x="590" y="477"/>
                          <a:pt x="580" y="475"/>
                          <a:pt x="572" y="470"/>
                        </a:cubicBezTo>
                        <a:cubicBezTo>
                          <a:pt x="572" y="573"/>
                          <a:pt x="572" y="573"/>
                          <a:pt x="572" y="573"/>
                        </a:cubicBezTo>
                        <a:cubicBezTo>
                          <a:pt x="256" y="573"/>
                          <a:pt x="0" y="316"/>
                          <a:pt x="0" y="0"/>
                        </a:cubicBezTo>
                        <a:cubicBezTo>
                          <a:pt x="90" y="0"/>
                          <a:pt x="90" y="0"/>
                          <a:pt x="90" y="0"/>
                        </a:cubicBezTo>
                        <a:cubicBezTo>
                          <a:pt x="85" y="9"/>
                          <a:pt x="83" y="18"/>
                          <a:pt x="83" y="29"/>
                        </a:cubicBezTo>
                        <a:cubicBezTo>
                          <a:pt x="83" y="63"/>
                          <a:pt x="111" y="91"/>
                          <a:pt x="146" y="91"/>
                        </a:cubicBezTo>
                        <a:cubicBezTo>
                          <a:pt x="180" y="91"/>
                          <a:pt x="208" y="63"/>
                          <a:pt x="208" y="29"/>
                        </a:cubicBezTo>
                        <a:cubicBezTo>
                          <a:pt x="208" y="18"/>
                          <a:pt x="206" y="9"/>
                          <a:pt x="201" y="0"/>
                        </a:cubicBezTo>
                        <a:cubicBezTo>
                          <a:pt x="307" y="0"/>
                          <a:pt x="307" y="0"/>
                          <a:pt x="307" y="0"/>
                        </a:cubicBezTo>
                        <a:cubicBezTo>
                          <a:pt x="307" y="146"/>
                          <a:pt x="426" y="265"/>
                          <a:pt x="572" y="265"/>
                        </a:cubicBezTo>
                        <a:cubicBezTo>
                          <a:pt x="572" y="359"/>
                          <a:pt x="572" y="359"/>
                          <a:pt x="572" y="359"/>
                        </a:cubicBezTo>
                        <a:cubicBezTo>
                          <a:pt x="580" y="354"/>
                          <a:pt x="590" y="352"/>
                          <a:pt x="600" y="352"/>
                        </a:cubicBezTo>
                        <a:cubicBezTo>
                          <a:pt x="635" y="352"/>
                          <a:pt x="662" y="380"/>
                          <a:pt x="662" y="415"/>
                        </a:cubicBezTo>
                        <a:close/>
                      </a:path>
                    </a:pathLst>
                  </a:custGeom>
                  <a:solidFill>
                    <a:schemeClr val="accent3">
                      <a:lumMod val="75000"/>
                    </a:schemeClr>
                  </a:solidFill>
                  <a:ln>
                    <a:noFill/>
                  </a:ln>
                  <a:effectLst>
                    <a:outerShdw blurRad="44450" dist="27940" dir="5400000" algn="ctr">
                      <a:srgbClr val="000000">
                        <a:alpha val="32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balanced" dir="t">
                      <a:rot lat="0" lon="0" rev="8700000"/>
                    </a:lightRig>
                  </a:scene3d>
                  <a:sp3d>
                    <a:bevelT w="190500" h="38100"/>
                  </a:sp3d>
                </xdr:spPr>
                <xdr:txBody>
                  <a:bodyPr vert="horz" wrap="square" lIns="109728" tIns="54864" rIns="109728" bIns="54864" numCol="1" anchor="t" anchorCtr="0" compatLnSpc="1">
                    <a:prstTxWarp prst="textNoShape">
                      <a:avLst/>
                    </a:prstTxWarp>
                  </a:bodyPr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endParaRPr lang="en-US" sz="2644"/>
                  </a:p>
                </xdr:txBody>
              </xdr:sp>
            </xdr:grpSp>
            <xdr:grpSp>
              <xdr:nvGrpSpPr>
                <xdr:cNvPr id="10" name="Group 9">
                  <a:extLst>
                    <a:ext uri="{FF2B5EF4-FFF2-40B4-BE49-F238E27FC236}">
                      <a16:creationId xmlns:a16="http://schemas.microsoft.com/office/drawing/2014/main" id="{FAAD0EF6-BC92-3DAE-F068-D5381AB8BAB5}"/>
                    </a:ext>
                  </a:extLst>
                </xdr:cNvPr>
                <xdr:cNvGrpSpPr/>
              </xdr:nvGrpSpPr>
              <xdr:grpSpPr>
                <a:xfrm>
                  <a:off x="4229513" y="1933671"/>
                  <a:ext cx="4073653" cy="3451792"/>
                  <a:chOff x="6845650" y="1876981"/>
                  <a:chExt cx="13653754" cy="3361738"/>
                </a:xfrm>
              </xdr:grpSpPr>
              <xdr:sp macro="[1]!Menu_Reports" textlink="">
                <xdr:nvSpPr>
                  <xdr:cNvPr id="12" name="TextBox 11">
                    <a:extLst>
                      <a:ext uri="{FF2B5EF4-FFF2-40B4-BE49-F238E27FC236}">
                        <a16:creationId xmlns:a16="http://schemas.microsoft.com/office/drawing/2014/main" id="{4A8F45EA-0CB6-89DB-ED1E-1B76A13751DC}"/>
                      </a:ext>
                    </a:extLst>
                  </xdr:cNvPr>
                  <xdr:cNvSpPr txBox="1"/>
                </xdr:nvSpPr>
                <xdr:spPr>
                  <a:xfrm rot="18902760">
                    <a:off x="13836984" y="3990889"/>
                    <a:ext cx="6662420" cy="1247830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pPr algn="ctr"/>
                    <a:r>
                      <a:rPr lang="en-US" sz="2000" b="1">
                        <a:solidFill>
                          <a:schemeClr val="bg1"/>
                        </a:solidFill>
                      </a:rPr>
                      <a:t>CURING</a:t>
                    </a:r>
                  </a:p>
                  <a:p>
                    <a:pPr algn="ctr"/>
                    <a:r>
                      <a:rPr lang="en-US" sz="2000" b="1">
                        <a:solidFill>
                          <a:schemeClr val="bg1"/>
                        </a:solidFill>
                      </a:rPr>
                      <a:t>(BATCH</a:t>
                    </a:r>
                    <a:r>
                      <a:rPr lang="en-US" sz="2000" b="1" baseline="0">
                        <a:solidFill>
                          <a:schemeClr val="bg1"/>
                        </a:solidFill>
                      </a:rPr>
                      <a:t> </a:t>
                    </a:r>
                    <a:r>
                      <a:rPr lang="en-US" sz="2000" b="1">
                        <a:solidFill>
                          <a:schemeClr val="bg1"/>
                        </a:solidFill>
                      </a:rPr>
                      <a:t>OVEN)</a:t>
                    </a:r>
                  </a:p>
                </xdr:txBody>
              </xdr:sp>
              <xdr:grpSp>
                <xdr:nvGrpSpPr>
                  <xdr:cNvPr id="7" name="Group 6">
                    <a:extLst>
                      <a:ext uri="{FF2B5EF4-FFF2-40B4-BE49-F238E27FC236}">
                        <a16:creationId xmlns:a16="http://schemas.microsoft.com/office/drawing/2014/main" id="{BB2249A9-9E6E-ED57-A5FB-A53E5F0D77A3}"/>
                      </a:ext>
                    </a:extLst>
                  </xdr:cNvPr>
                  <xdr:cNvGrpSpPr/>
                </xdr:nvGrpSpPr>
                <xdr:grpSpPr>
                  <a:xfrm>
                    <a:off x="6845650" y="1876981"/>
                    <a:ext cx="10509921" cy="2597166"/>
                    <a:chOff x="6843168" y="1851874"/>
                    <a:chExt cx="10482912" cy="2560268"/>
                  </a:xfrm>
                </xdr:grpSpPr>
                <xdr:sp macro="" textlink="">
                  <xdr:nvSpPr>
                    <xdr:cNvPr id="4" name="Flowchart: Connector 3">
                      <a:extLst>
                        <a:ext uri="{FF2B5EF4-FFF2-40B4-BE49-F238E27FC236}">
                          <a16:creationId xmlns:a16="http://schemas.microsoft.com/office/drawing/2014/main" id="{DEDEA363-A10C-BB28-E2BB-40093B882D17}"/>
                        </a:ext>
                      </a:extLst>
                    </xdr:cNvPr>
                    <xdr:cNvSpPr/>
                  </xdr:nvSpPr>
                  <xdr:spPr>
                    <a:xfrm>
                      <a:off x="7488623" y="1851874"/>
                      <a:ext cx="8950684" cy="2560268"/>
                    </a:xfrm>
                    <a:prstGeom prst="flowChartConnector">
                      <a:avLst/>
                    </a:prstGeom>
                  </xdr:spPr>
                  <xdr:style>
                    <a:lnRef idx="3">
                      <a:schemeClr val="lt1"/>
                    </a:lnRef>
                    <a:fillRef idx="1">
                      <a:schemeClr val="accent2"/>
                    </a:fillRef>
                    <a:effectRef idx="1">
                      <a:schemeClr val="accent2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ctr"/>
                      <a:endParaRPr lang="en-IN" sz="2000"/>
                    </a:p>
                  </xdr:txBody>
                </xdr:sp>
                <xdr:sp macro="" textlink="">
                  <xdr:nvSpPr>
                    <xdr:cNvPr id="5" name="TextBox 4">
                      <a:extLst>
                        <a:ext uri="{FF2B5EF4-FFF2-40B4-BE49-F238E27FC236}">
                          <a16:creationId xmlns:a16="http://schemas.microsoft.com/office/drawing/2014/main" id="{ADED786F-D8EB-9C8C-D247-05860FA441EB}"/>
                        </a:ext>
                      </a:extLst>
                    </xdr:cNvPr>
                    <xdr:cNvSpPr txBox="1"/>
                  </xdr:nvSpPr>
                  <xdr:spPr>
                    <a:xfrm>
                      <a:off x="6843168" y="2268481"/>
                      <a:ext cx="10482912" cy="15811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accent2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algn="ctr"/>
                      <a:r>
                        <a:rPr lang="en-IN" sz="2400">
                          <a:solidFill>
                            <a:schemeClr val="bg1"/>
                          </a:solidFill>
                          <a:latin typeface="ADLaM Display" panose="02010000000000000000" pitchFamily="2" charset="0"/>
                          <a:ea typeface="ADLaM Display" panose="02010000000000000000" pitchFamily="2" charset="0"/>
                          <a:cs typeface="ADLaM Display" panose="02010000000000000000" pitchFamily="2" charset="0"/>
                        </a:rPr>
                        <a:t>HEAT LOAD </a:t>
                      </a:r>
                      <a:r>
                        <a:rPr lang="en-US" sz="2400">
                          <a:solidFill>
                            <a:schemeClr val="bg1"/>
                          </a:solidFill>
                          <a:latin typeface="ADLaM Display" panose="02010000000000000000" pitchFamily="2" charset="0"/>
                          <a:ea typeface="ADLaM Display" panose="02010000000000000000" pitchFamily="2" charset="0"/>
                          <a:cs typeface="ADLaM Display" panose="02010000000000000000" pitchFamily="2" charset="0"/>
                        </a:rPr>
                        <a:t>CALCULATION</a:t>
                      </a:r>
                    </a:p>
                    <a:p>
                      <a:pPr algn="ctr"/>
                      <a:r>
                        <a:rPr lang="en-US" sz="1200">
                          <a:solidFill>
                            <a:schemeClr val="bg1"/>
                          </a:solidFill>
                          <a:latin typeface="ADLaM Display" panose="02010000000000000000" pitchFamily="2" charset="0"/>
                          <a:ea typeface="ADLaM Display" panose="02010000000000000000" pitchFamily="2" charset="0"/>
                          <a:cs typeface="ADLaM Display" panose="02010000000000000000" pitchFamily="2" charset="0"/>
                        </a:rPr>
                        <a:t>BY</a:t>
                      </a:r>
                    </a:p>
                    <a:p>
                      <a:pPr algn="ctr"/>
                      <a:r>
                        <a:rPr lang="en-US" sz="1200">
                          <a:solidFill>
                            <a:schemeClr val="bg1"/>
                          </a:solidFill>
                          <a:latin typeface="ADLaM Display" panose="02010000000000000000" pitchFamily="2" charset="0"/>
                          <a:ea typeface="ADLaM Display" panose="02010000000000000000" pitchFamily="2" charset="0"/>
                          <a:cs typeface="ADLaM Display" panose="02010000000000000000" pitchFamily="2" charset="0"/>
                        </a:rPr>
                        <a:t>SIVAM </a:t>
                      </a:r>
                      <a:endParaRPr lang="en-IN" sz="1200">
                        <a:solidFill>
                          <a:schemeClr val="bg1"/>
                        </a:solidFill>
                        <a:latin typeface="ADLaM Display" panose="02010000000000000000" pitchFamily="2" charset="0"/>
                        <a:ea typeface="ADLaM Display" panose="02010000000000000000" pitchFamily="2" charset="0"/>
                        <a:cs typeface="ADLaM Display" panose="02010000000000000000" pitchFamily="2" charset="0"/>
                      </a:endParaRPr>
                    </a:p>
                  </xdr:txBody>
                </xdr:sp>
              </xdr:grpSp>
            </xdr:grpSp>
          </xdr:grpSp>
          <xdr:sp macro="[1]!Menu_IncomeExpense" textlink="">
            <xdr:nvSpPr>
              <xdr:cNvPr id="11" name="TextBox 10">
                <a:hlinkClick xmlns:r="http://schemas.openxmlformats.org/officeDocument/2006/relationships" r:id="rId1"/>
                <a:extLst>
                  <a:ext uri="{FF2B5EF4-FFF2-40B4-BE49-F238E27FC236}">
                    <a16:creationId xmlns:a16="http://schemas.microsoft.com/office/drawing/2014/main" id="{99AC84EC-3324-161C-1331-2E5352EF02F1}"/>
                  </a:ext>
                </a:extLst>
              </xdr:cNvPr>
              <xdr:cNvSpPr txBox="1"/>
            </xdr:nvSpPr>
            <xdr:spPr>
              <a:xfrm rot="18793653">
                <a:off x="3356095" y="1742894"/>
                <a:ext cx="1606275" cy="70323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2400" b="1">
                    <a:solidFill>
                      <a:schemeClr val="bg1"/>
                    </a:solidFill>
                  </a:rPr>
                  <a:t>TANK</a:t>
                </a:r>
              </a:p>
            </xdr:txBody>
          </xdr:sp>
        </xdr:grpSp>
        <xdr:sp macro="[1]!Menu_Invoice" textlink="">
          <xdr:nvSpPr>
            <xdr:cNvPr id="14" name="TextBox 13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77E7EC60-0C58-1842-82C4-757082EB91B8}"/>
                </a:ext>
              </a:extLst>
            </xdr:cNvPr>
            <xdr:cNvSpPr txBox="1"/>
          </xdr:nvSpPr>
          <xdr:spPr>
            <a:xfrm rot="2438232">
              <a:off x="6122488" y="1372120"/>
              <a:ext cx="1853748" cy="10142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 b="1">
                  <a:solidFill>
                    <a:schemeClr val="bg1"/>
                  </a:solidFill>
                </a:rPr>
                <a:t>DRY OFF</a:t>
              </a:r>
            </a:p>
            <a:p>
              <a:pPr algn="ctr"/>
              <a:r>
                <a:rPr lang="en-US" sz="2000" b="1">
                  <a:solidFill>
                    <a:schemeClr val="bg1"/>
                  </a:solidFill>
                </a:rPr>
                <a:t>OVEN</a:t>
              </a:r>
            </a:p>
          </xdr:txBody>
        </xdr:sp>
      </xdr:grpSp>
      <xdr:sp macro="[1]!Menu_Purchase" textlink="">
        <xdr:nvSpPr>
          <xdr:cNvPr id="13" name="TextBox 12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E5E3C56-9224-CEE5-0C1F-8987FFB7671E}"/>
              </a:ext>
            </a:extLst>
          </xdr:cNvPr>
          <xdr:cNvSpPr txBox="1"/>
        </xdr:nvSpPr>
        <xdr:spPr>
          <a:xfrm rot="2530935">
            <a:off x="3187325" y="4197238"/>
            <a:ext cx="2459449" cy="9565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solidFill>
                  <a:schemeClr val="bg1"/>
                </a:solidFill>
              </a:rPr>
              <a:t>CURING OVEN</a:t>
            </a:r>
          </a:p>
          <a:p>
            <a:pPr algn="ctr"/>
            <a:r>
              <a:rPr lang="en-US" sz="2000" b="1">
                <a:solidFill>
                  <a:schemeClr val="bg1"/>
                </a:solidFill>
              </a:rPr>
              <a:t>(CONVEYORIZED)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55218</xdr:colOff>
      <xdr:row>0</xdr:row>
      <xdr:rowOff>154608</xdr:rowOff>
    </xdr:from>
    <xdr:to>
      <xdr:col>3</xdr:col>
      <xdr:colOff>419654</xdr:colOff>
      <xdr:row>2</xdr:row>
      <xdr:rowOff>22086</xdr:rowOff>
    </xdr:to>
    <xdr:grpSp>
      <xdr:nvGrpSpPr>
        <xdr:cNvPr id="3" name="Group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7A3D5C-7347-4ABF-BADD-48EED4E7F775}"/>
            </a:ext>
          </a:extLst>
        </xdr:cNvPr>
        <xdr:cNvGrpSpPr/>
      </xdr:nvGrpSpPr>
      <xdr:grpSpPr>
        <a:xfrm>
          <a:off x="2267949" y="154608"/>
          <a:ext cx="364436" cy="365709"/>
          <a:chOff x="8628529" y="1008529"/>
          <a:chExt cx="548640" cy="549089"/>
        </a:xfrm>
      </xdr:grpSpPr>
      <xdr:sp macro="[1]!Menu_Home" textlink="">
        <xdr:nvSpPr>
          <xdr:cNvPr id="4" name="Oval 3">
            <a:extLst>
              <a:ext uri="{FF2B5EF4-FFF2-40B4-BE49-F238E27FC236}">
                <a16:creationId xmlns:a16="http://schemas.microsoft.com/office/drawing/2014/main" id="{CFB2477F-54CB-DD54-0C43-4794AFCFB584}"/>
              </a:ext>
            </a:extLst>
          </xdr:cNvPr>
          <xdr:cNvSpPr/>
        </xdr:nvSpPr>
        <xdr:spPr>
          <a:xfrm>
            <a:off x="8628529" y="1008529"/>
            <a:ext cx="548640" cy="549089"/>
          </a:xfrm>
          <a:prstGeom prst="ellipse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 macro="[1]!Menu_Home">
        <xdr:nvPicPr>
          <xdr:cNvPr id="5" name="Picture 4">
            <a:extLst>
              <a:ext uri="{FF2B5EF4-FFF2-40B4-BE49-F238E27FC236}">
                <a16:creationId xmlns:a16="http://schemas.microsoft.com/office/drawing/2014/main" id="{30D0B222-FDA2-9155-9D23-542B97EB89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flipH="1">
            <a:off x="8746925" y="1123053"/>
            <a:ext cx="311848" cy="32004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sig\Downloads\Mini_ERP_Application.xlsm" TargetMode="External"/><Relationship Id="rId1" Type="http://schemas.openxmlformats.org/officeDocument/2006/relationships/externalLinkPath" Target="file:///C:\Users\desig\Downloads\Mini_ERP_Applica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 Here"/>
      <sheetName val="ERP"/>
      <sheetName val="Invoices"/>
      <sheetName val="Lists"/>
      <sheetName val="Invoice Items"/>
      <sheetName val="Purchases"/>
      <sheetName val="PurchItems"/>
      <sheetName val="Customers"/>
      <sheetName val="Inventory Items"/>
      <sheetName val="Transactions"/>
      <sheetName val="Mini_ERP_Application"/>
    </sheetNames>
    <definedNames>
      <definedName name="Menu_Home"/>
      <definedName name="Menu_IncomeExpense"/>
      <definedName name="Menu_Invoice"/>
      <definedName name="Menu_Purchase"/>
      <definedName name="Menu_Reports"/>
    </definedNames>
    <sheetDataSet>
      <sheetData sheetId="0"/>
      <sheetData sheetId="1">
        <row r="4">
          <cell r="AD4" t="str">
            <v>Total Sales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solidFill>
          <a:srgbClr val="660066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a:spPr>
      <a:bodyPr vert="horz" wrap="square" lIns="109728" tIns="54864" rIns="109728" bIns="54864" numCol="1" anchor="t" anchorCtr="0" compatLnSpc="1">
        <a:prstTxWarp prst="textNoShape">
          <a:avLst/>
        </a:prstTxWarp>
      </a:bodyPr>
      <a:lstStyle>
        <a:defPPr algn="l">
          <a:defRPr sz="2644"/>
        </a:defPPr>
      </a:lst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6700B-B090-4701-BA93-151B3E5D0569}">
  <dimension ref="A1:O21"/>
  <sheetViews>
    <sheetView zoomScaleNormal="100" workbookViewId="0">
      <pane ySplit="34" topLeftCell="A35" activePane="bottomLeft" state="frozen"/>
      <selection pane="bottomLeft" sqref="A1:XFD1048576"/>
    </sheetView>
  </sheetViews>
  <sheetFormatPr defaultColWidth="8.7109375" defaultRowHeight="15" outlineLevelCol="1" x14ac:dyDescent="0.25"/>
  <cols>
    <col min="1" max="1" width="9.7109375" style="41" customWidth="1"/>
    <col min="2" max="5" width="8.7109375" style="41" outlineLevel="1"/>
    <col min="6" max="6" width="9.140625" style="41" customWidth="1" outlineLevel="1"/>
    <col min="7" max="7" width="8.7109375" style="41" outlineLevel="1"/>
    <col min="8" max="16384" width="8.7109375" style="41"/>
  </cols>
  <sheetData>
    <row r="1" spans="1:15" x14ac:dyDescent="0.2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5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2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5" spans="1:15" x14ac:dyDescent="0.2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</row>
    <row r="6" spans="1:15" x14ac:dyDescent="0.25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</row>
    <row r="7" spans="1:15" x14ac:dyDescent="0.2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</row>
    <row r="8" spans="1:15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</row>
    <row r="9" spans="1:15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</row>
    <row r="10" spans="1:15" x14ac:dyDescent="0.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</row>
    <row r="11" spans="1:15" x14ac:dyDescent="0.2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</row>
    <row r="12" spans="1:15" x14ac:dyDescent="0.2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</row>
    <row r="13" spans="1:15" x14ac:dyDescent="0.2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</row>
    <row r="14" spans="1:15" x14ac:dyDescent="0.2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</row>
    <row r="15" spans="1:15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</row>
    <row r="16" spans="1:15" x14ac:dyDescent="0.25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</row>
    <row r="17" spans="1:15" x14ac:dyDescent="0.2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</row>
    <row r="18" spans="1:15" x14ac:dyDescent="0.2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</row>
    <row r="19" spans="1:15" x14ac:dyDescent="0.25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</row>
    <row r="20" spans="1:15" x14ac:dyDescent="0.2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</row>
    <row r="21" spans="1:15" x14ac:dyDescent="0.25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</row>
  </sheetData>
  <sheetProtection algorithmName="SHA-512" hashValue="fwFj1ZcQk96R0UcfkoqBWjOvrxk/JkPSh7eUEwjDjJ9tbqnF1lZZbSdaDkrbHqLeDX6atKMUfmZyh41ovsK2Wg==" saltValue="4FfLZAMGFtYuuvbYIEdFdw==" spinCount="100000" sheet="1" objects="1" scenarios="1" selectLockedCells="1" selectUn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5"/>
  <sheetViews>
    <sheetView zoomScale="130" zoomScaleNormal="130" workbookViewId="0">
      <pane ySplit="23" topLeftCell="A24" activePane="bottomLeft" state="frozen"/>
      <selection pane="bottomLeft" activeCell="D6" sqref="D6"/>
    </sheetView>
  </sheetViews>
  <sheetFormatPr defaultColWidth="9.140625" defaultRowHeight="16.5" x14ac:dyDescent="0.25"/>
  <cols>
    <col min="1" max="1" width="3.140625" style="1" customWidth="1"/>
    <col min="2" max="2" width="16.85546875" style="1" customWidth="1"/>
    <col min="3" max="3" width="13.140625" style="1" customWidth="1"/>
    <col min="4" max="4" width="12.140625" style="1" customWidth="1"/>
    <col min="5" max="5" width="15.85546875" style="1" bestFit="1" customWidth="1"/>
    <col min="6" max="6" width="12.140625" style="1" customWidth="1"/>
    <col min="7" max="7" width="14.42578125" style="1" customWidth="1"/>
    <col min="8" max="8" width="19.5703125" style="1" customWidth="1"/>
    <col min="9" max="10" width="9.140625" style="1"/>
    <col min="11" max="11" width="14.140625" style="1" customWidth="1"/>
    <col min="12" max="12" width="16.140625" style="1" customWidth="1"/>
    <col min="13" max="13" width="12.28515625" style="1" customWidth="1"/>
    <col min="14" max="15" width="9.140625" style="1"/>
    <col min="16" max="16" width="8.42578125" style="1" customWidth="1"/>
    <col min="17" max="16384" width="9.140625" style="1"/>
  </cols>
  <sheetData>
    <row r="1" spans="1:3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  <c r="AE1" s="16"/>
    </row>
    <row r="2" spans="1:31" ht="22.5" x14ac:dyDescent="0.25">
      <c r="A2" s="8"/>
      <c r="B2" s="55" t="s">
        <v>39</v>
      </c>
      <c r="C2" s="5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9"/>
      <c r="AE2" s="16"/>
    </row>
    <row r="3" spans="1:31" ht="17.25" x14ac:dyDescent="0.25">
      <c r="A3" s="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53" t="s">
        <v>34</v>
      </c>
      <c r="N3" s="54"/>
      <c r="O3" s="2"/>
      <c r="P3" s="9"/>
      <c r="AE3" s="16"/>
    </row>
    <row r="4" spans="1:31" ht="20.25" x14ac:dyDescent="0.25">
      <c r="A4" s="8"/>
      <c r="B4" s="14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  <c r="M4" s="2" t="s">
        <v>11</v>
      </c>
      <c r="N4" s="42">
        <v>1.04</v>
      </c>
      <c r="O4" s="2" t="s">
        <v>58</v>
      </c>
      <c r="P4" s="9"/>
      <c r="AE4" s="16"/>
    </row>
    <row r="5" spans="1:31" x14ac:dyDescent="0.25">
      <c r="A5" s="8"/>
      <c r="B5" s="2"/>
      <c r="C5" s="2"/>
      <c r="D5" s="4" t="s">
        <v>1</v>
      </c>
      <c r="E5" s="4" t="s">
        <v>2</v>
      </c>
      <c r="F5" s="4" t="s">
        <v>3</v>
      </c>
      <c r="G5" s="2"/>
      <c r="H5" s="2"/>
      <c r="I5" s="2"/>
      <c r="J5" s="2"/>
      <c r="K5" s="2"/>
      <c r="L5" s="2"/>
      <c r="M5" s="2"/>
      <c r="N5" s="43"/>
      <c r="O5" s="2"/>
      <c r="P5" s="9"/>
      <c r="AE5" s="16"/>
    </row>
    <row r="6" spans="1:31" ht="18" thickBot="1" x14ac:dyDescent="0.3">
      <c r="A6" s="8"/>
      <c r="B6" s="2"/>
      <c r="C6" s="2" t="s">
        <v>4</v>
      </c>
      <c r="D6" s="4" t="s">
        <v>6</v>
      </c>
      <c r="E6" s="4" t="s">
        <v>6</v>
      </c>
      <c r="F6" s="4" t="s">
        <v>6</v>
      </c>
      <c r="G6" s="2"/>
      <c r="H6" s="2"/>
      <c r="I6" s="2"/>
      <c r="J6" s="2"/>
      <c r="K6" s="2"/>
      <c r="L6" s="2"/>
      <c r="M6" s="13" t="s">
        <v>38</v>
      </c>
      <c r="N6" s="4"/>
      <c r="O6" s="2"/>
      <c r="P6" s="9"/>
      <c r="AE6" s="16"/>
    </row>
    <row r="7" spans="1:31" ht="21.75" thickTop="1" thickBot="1" x14ac:dyDescent="0.3">
      <c r="A7" s="8"/>
      <c r="B7" s="2"/>
      <c r="C7" s="2" t="s">
        <v>5</v>
      </c>
      <c r="D7" s="50">
        <v>2250</v>
      </c>
      <c r="E7" s="50">
        <v>1500</v>
      </c>
      <c r="F7" s="50">
        <v>1500</v>
      </c>
      <c r="G7" s="2"/>
      <c r="H7" s="2"/>
      <c r="I7" s="2"/>
      <c r="J7" s="2"/>
      <c r="K7" s="2"/>
      <c r="L7" s="2"/>
      <c r="M7" s="2" t="s">
        <v>11</v>
      </c>
      <c r="N7" s="42">
        <v>1</v>
      </c>
      <c r="O7" s="2" t="s">
        <v>35</v>
      </c>
      <c r="P7" s="9"/>
      <c r="AE7" s="16"/>
    </row>
    <row r="8" spans="1:31" ht="17.25" thickTop="1" x14ac:dyDescent="0.25">
      <c r="A8" s="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9"/>
      <c r="AE8" s="16"/>
    </row>
    <row r="9" spans="1:31" x14ac:dyDescent="0.25">
      <c r="A9" s="8"/>
      <c r="B9" s="2" t="s">
        <v>11</v>
      </c>
      <c r="C9" s="2" t="s">
        <v>7</v>
      </c>
      <c r="D9" s="4">
        <f>ROUNDUP((D7/1000)*(E7/1000)*((F7-200)/1000),0)</f>
        <v>5</v>
      </c>
      <c r="E9" s="2" t="s">
        <v>21</v>
      </c>
      <c r="F9" s="2"/>
      <c r="G9" s="2"/>
      <c r="H9" s="2"/>
      <c r="I9" s="2"/>
      <c r="J9" s="2"/>
      <c r="K9" s="2"/>
      <c r="L9" s="2"/>
      <c r="M9" s="2"/>
      <c r="N9" s="2"/>
      <c r="O9" s="2"/>
      <c r="P9" s="9"/>
      <c r="AE9" s="16"/>
    </row>
    <row r="10" spans="1:31" x14ac:dyDescent="0.25">
      <c r="A10" s="8"/>
      <c r="B10" s="2"/>
      <c r="C10" s="52" t="s">
        <v>25</v>
      </c>
      <c r="D10" s="4">
        <f>D9*1000</f>
        <v>5000</v>
      </c>
      <c r="E10" s="2" t="s">
        <v>36</v>
      </c>
      <c r="F10" s="52" t="s">
        <v>25</v>
      </c>
      <c r="G10" s="52">
        <v>750</v>
      </c>
      <c r="H10" s="2"/>
      <c r="I10" s="2"/>
      <c r="J10" s="2"/>
      <c r="K10" s="2"/>
      <c r="L10" s="2"/>
      <c r="M10" s="2"/>
      <c r="N10" s="2"/>
      <c r="O10" s="2"/>
      <c r="P10" s="9"/>
      <c r="AE10" s="16"/>
    </row>
    <row r="11" spans="1:31" x14ac:dyDescent="0.25">
      <c r="A11" s="8"/>
      <c r="B11" s="2"/>
      <c r="C11" s="52"/>
      <c r="D11" s="4">
        <f>D10*N7</f>
        <v>5000</v>
      </c>
      <c r="E11" s="2" t="s">
        <v>37</v>
      </c>
      <c r="F11" s="52"/>
      <c r="G11" s="52"/>
      <c r="H11" s="2"/>
      <c r="I11" s="2"/>
      <c r="J11" s="2"/>
      <c r="K11" s="2"/>
      <c r="L11" s="2"/>
      <c r="M11" s="2"/>
      <c r="N11" s="3"/>
      <c r="O11" s="2"/>
      <c r="P11" s="9"/>
      <c r="AE11" s="16"/>
    </row>
    <row r="12" spans="1:31" x14ac:dyDescent="0.25">
      <c r="A12" s="8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  <c r="O12" s="2"/>
      <c r="P12" s="9"/>
      <c r="AE12" s="16"/>
    </row>
    <row r="13" spans="1:31" ht="17.25" thickBot="1" x14ac:dyDescent="0.3">
      <c r="A13" s="8"/>
      <c r="B13" s="2"/>
      <c r="C13" s="2" t="s">
        <v>16</v>
      </c>
      <c r="D13" s="4">
        <v>25</v>
      </c>
      <c r="E13" s="2" t="s">
        <v>17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9"/>
      <c r="AE13" s="16"/>
    </row>
    <row r="14" spans="1:31" ht="21.75" thickTop="1" thickBot="1" x14ac:dyDescent="0.3">
      <c r="A14" s="8"/>
      <c r="B14" s="2"/>
      <c r="C14" s="2" t="s">
        <v>18</v>
      </c>
      <c r="D14" s="50">
        <v>75</v>
      </c>
      <c r="E14" s="2" t="s">
        <v>17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9"/>
      <c r="AE14" s="16"/>
    </row>
    <row r="15" spans="1:31" ht="17.25" thickTop="1" x14ac:dyDescent="0.25">
      <c r="A15" s="8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9"/>
      <c r="AE15" s="16"/>
    </row>
    <row r="16" spans="1:31" x14ac:dyDescent="0.25">
      <c r="A16" s="8"/>
      <c r="B16" s="2"/>
      <c r="C16" s="2" t="s">
        <v>8</v>
      </c>
      <c r="D16" s="4" t="s">
        <v>10</v>
      </c>
      <c r="E16" s="17" t="s">
        <v>25</v>
      </c>
      <c r="F16" s="4" t="s">
        <v>40</v>
      </c>
      <c r="G16" s="52" t="s">
        <v>32</v>
      </c>
      <c r="H16" s="52"/>
      <c r="I16" s="4" t="s">
        <v>9</v>
      </c>
      <c r="J16" s="52" t="s">
        <v>14</v>
      </c>
      <c r="K16" s="52"/>
      <c r="L16" s="52"/>
      <c r="M16" s="2"/>
      <c r="N16" s="2"/>
      <c r="O16" s="2"/>
      <c r="P16" s="9"/>
      <c r="AE16" s="16"/>
    </row>
    <row r="17" spans="1:31" x14ac:dyDescent="0.25">
      <c r="A17" s="8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9"/>
      <c r="AE17" s="16"/>
    </row>
    <row r="18" spans="1:31" x14ac:dyDescent="0.25">
      <c r="A18" s="8"/>
      <c r="B18" s="2"/>
      <c r="C18" s="2"/>
      <c r="D18" s="4" t="s">
        <v>10</v>
      </c>
      <c r="E18" s="2">
        <f>D11</f>
        <v>5000</v>
      </c>
      <c r="F18" s="4" t="s">
        <v>9</v>
      </c>
      <c r="G18" s="4">
        <f>N4</f>
        <v>1.04</v>
      </c>
      <c r="H18" s="4"/>
      <c r="I18" s="2"/>
      <c r="J18" s="2"/>
      <c r="K18" s="4">
        <f>D14-D13</f>
        <v>50</v>
      </c>
      <c r="L18" s="2"/>
      <c r="M18" s="2"/>
      <c r="N18" s="2"/>
      <c r="O18" s="2"/>
      <c r="P18" s="9"/>
      <c r="AE18" s="16"/>
    </row>
    <row r="19" spans="1:31" x14ac:dyDescent="0.25">
      <c r="A19" s="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9"/>
      <c r="AE19" s="16"/>
    </row>
    <row r="20" spans="1:31" ht="20.25" x14ac:dyDescent="0.25">
      <c r="A20" s="8"/>
      <c r="B20" s="2"/>
      <c r="C20" s="2"/>
      <c r="D20" s="4" t="s">
        <v>10</v>
      </c>
      <c r="E20" s="48">
        <f>(E18*G18*K18)+(G10*0.11*K18)</f>
        <v>264125</v>
      </c>
      <c r="F20" s="2" t="s">
        <v>19</v>
      </c>
      <c r="G20" s="2"/>
      <c r="H20" s="2"/>
      <c r="I20" s="2"/>
      <c r="J20" s="2"/>
      <c r="K20" s="2"/>
      <c r="L20" s="2"/>
      <c r="M20" s="2"/>
      <c r="N20" s="2"/>
      <c r="O20" s="2"/>
      <c r="P20" s="9"/>
      <c r="AE20" s="16"/>
    </row>
    <row r="21" spans="1:31" x14ac:dyDescent="0.25">
      <c r="A21" s="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9"/>
      <c r="AE21" s="16"/>
    </row>
    <row r="22" spans="1:31" ht="20.25" x14ac:dyDescent="0.25">
      <c r="A22" s="8"/>
      <c r="B22" s="2"/>
      <c r="C22" s="2"/>
      <c r="D22" s="4" t="s">
        <v>10</v>
      </c>
      <c r="E22" s="49">
        <f>ROUNDUP(E20/860,0)</f>
        <v>308</v>
      </c>
      <c r="F22" s="2" t="s">
        <v>20</v>
      </c>
      <c r="G22" s="2"/>
      <c r="H22" s="2"/>
      <c r="I22" s="2"/>
      <c r="J22" s="2"/>
      <c r="K22" s="2"/>
      <c r="L22" s="2"/>
      <c r="M22" s="2"/>
      <c r="N22" s="2"/>
      <c r="O22" s="2"/>
      <c r="P22" s="9"/>
      <c r="AE22" s="16"/>
    </row>
    <row r="23" spans="1:31" ht="17.25" thickBot="1" x14ac:dyDescent="0.3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2"/>
      <c r="Q23" s="51"/>
      <c r="AE23" s="16"/>
    </row>
    <row r="24" spans="1:3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AE24" s="16"/>
    </row>
    <row r="25" spans="1:31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</sheetData>
  <sheetProtection selectLockedCells="1"/>
  <mergeCells count="7">
    <mergeCell ref="G16:H16"/>
    <mergeCell ref="J16:L16"/>
    <mergeCell ref="M3:N3"/>
    <mergeCell ref="B2:C2"/>
    <mergeCell ref="C10:C11"/>
    <mergeCell ref="F10:F11"/>
    <mergeCell ref="G10:G11"/>
  </mergeCells>
  <hyperlinks>
    <hyperlink ref="B2:C2" location="'Home Page'!A1" display="&lt;&lt;&lt;&lt; Home Page" xr:uid="{AF8D73B0-7E76-4801-9892-6DA8A719359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37D6-6448-45F2-97F2-EE8B67CF3BFD}">
  <dimension ref="A2:S38"/>
  <sheetViews>
    <sheetView topLeftCell="A2" zoomScaleNormal="100" workbookViewId="0">
      <pane ySplit="35" topLeftCell="A37" activePane="bottomLeft" state="frozen"/>
      <selection activeCell="A2" sqref="A2"/>
      <selection pane="bottomLeft" activeCell="R17" sqref="R17"/>
    </sheetView>
  </sheetViews>
  <sheetFormatPr defaultColWidth="9.140625" defaultRowHeight="15" x14ac:dyDescent="0.25"/>
  <cols>
    <col min="1" max="1" width="6.42578125" style="20" customWidth="1"/>
    <col min="2" max="2" width="33.140625" style="20" customWidth="1"/>
    <col min="3" max="3" width="31.140625" style="20" customWidth="1"/>
    <col min="4" max="4" width="12" style="20" customWidth="1"/>
    <col min="5" max="5" width="11.85546875" style="20" bestFit="1" customWidth="1"/>
    <col min="6" max="6" width="13.140625" style="20" bestFit="1" customWidth="1"/>
    <col min="7" max="7" width="29.140625" style="20" customWidth="1"/>
    <col min="8" max="8" width="9.7109375" style="20" customWidth="1"/>
    <col min="9" max="9" width="8.28515625" style="20" customWidth="1"/>
    <col min="10" max="10" width="17.7109375" style="20" customWidth="1"/>
    <col min="11" max="11" width="14.28515625" style="20" bestFit="1" customWidth="1"/>
    <col min="12" max="12" width="9.140625" style="20"/>
    <col min="13" max="13" width="10.85546875" style="20" bestFit="1" customWidth="1"/>
    <col min="14" max="14" width="7.85546875" style="20" bestFit="1" customWidth="1"/>
    <col min="15" max="16384" width="9.140625" style="20"/>
  </cols>
  <sheetData>
    <row r="2" spans="1:16" ht="16.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27" x14ac:dyDescent="0.25">
      <c r="A3" s="2"/>
      <c r="B3" s="57" t="s">
        <v>39</v>
      </c>
      <c r="C3" s="58"/>
      <c r="D3" s="4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22.5" x14ac:dyDescent="0.25">
      <c r="A4" s="2"/>
      <c r="B4" s="21"/>
      <c r="C4" s="21"/>
      <c r="D4" s="21"/>
      <c r="E4" s="2"/>
      <c r="F4" s="2"/>
      <c r="G4" s="2"/>
      <c r="H4" s="2"/>
      <c r="I4" s="2"/>
      <c r="J4" s="2"/>
      <c r="K4" s="2"/>
      <c r="L4" s="2"/>
      <c r="M4" s="53" t="s">
        <v>34</v>
      </c>
      <c r="N4" s="54"/>
      <c r="O4" s="2"/>
      <c r="P4" s="2"/>
    </row>
    <row r="5" spans="1:16" ht="21.75" x14ac:dyDescent="0.25">
      <c r="A5" s="2"/>
      <c r="B5" s="59" t="s">
        <v>22</v>
      </c>
      <c r="C5" s="23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2"/>
      <c r="P5" s="2"/>
    </row>
    <row r="6" spans="1:16" ht="16.5" x14ac:dyDescent="0.25">
      <c r="A6" s="2"/>
      <c r="B6" s="60"/>
      <c r="C6" s="2"/>
      <c r="D6" s="4" t="s">
        <v>1</v>
      </c>
      <c r="E6" s="4" t="s">
        <v>2</v>
      </c>
      <c r="F6" s="4" t="s">
        <v>3</v>
      </c>
      <c r="G6" s="2"/>
      <c r="H6" s="2"/>
      <c r="I6" s="2"/>
      <c r="J6" s="2"/>
      <c r="K6" s="2"/>
      <c r="L6" s="2"/>
      <c r="M6" s="2" t="s">
        <v>12</v>
      </c>
      <c r="N6" s="3">
        <v>0.11</v>
      </c>
      <c r="O6" s="52" t="s">
        <v>15</v>
      </c>
      <c r="P6" s="52"/>
    </row>
    <row r="7" spans="1:16" ht="14.45" customHeight="1" x14ac:dyDescent="0.25">
      <c r="A7" s="2"/>
      <c r="B7" s="2"/>
      <c r="C7" s="2" t="s">
        <v>4</v>
      </c>
      <c r="D7" s="4" t="s">
        <v>6</v>
      </c>
      <c r="E7" s="4" t="s">
        <v>6</v>
      </c>
      <c r="F7" s="4" t="s">
        <v>6</v>
      </c>
      <c r="G7" s="2"/>
      <c r="H7" s="2"/>
      <c r="I7" s="2"/>
      <c r="J7" s="2"/>
      <c r="K7" s="2"/>
      <c r="L7" s="2"/>
      <c r="M7" s="2" t="s">
        <v>13</v>
      </c>
      <c r="N7" s="3">
        <v>0.24</v>
      </c>
      <c r="O7" s="52"/>
      <c r="P7" s="52"/>
    </row>
    <row r="8" spans="1:16" ht="26.45" customHeight="1" x14ac:dyDescent="0.25">
      <c r="A8" s="2"/>
      <c r="B8" s="2"/>
      <c r="C8" s="2" t="s">
        <v>5</v>
      </c>
      <c r="D8" s="45">
        <v>4300</v>
      </c>
      <c r="E8" s="45">
        <v>2750</v>
      </c>
      <c r="F8" s="45">
        <v>3000</v>
      </c>
      <c r="G8" s="2"/>
      <c r="H8" s="2"/>
      <c r="I8" s="2"/>
      <c r="J8" s="2"/>
      <c r="K8" s="2"/>
      <c r="L8" s="2"/>
      <c r="M8" s="2"/>
      <c r="N8" s="3"/>
      <c r="O8" s="2"/>
      <c r="P8" s="2"/>
    </row>
    <row r="9" spans="1:16" ht="16.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61" t="s">
        <v>48</v>
      </c>
      <c r="N9" s="61"/>
      <c r="O9" s="2"/>
      <c r="P9" s="2"/>
    </row>
    <row r="10" spans="1:16" ht="16.5" x14ac:dyDescent="0.25">
      <c r="A10" s="2"/>
      <c r="B10" s="2"/>
      <c r="C10" s="2" t="s">
        <v>7</v>
      </c>
      <c r="D10" s="4">
        <f>ROUNDUP((D8/1000)*(E8/1000)*(F8/1000),0)</f>
        <v>36</v>
      </c>
      <c r="E10" s="2" t="s">
        <v>21</v>
      </c>
      <c r="F10" s="2"/>
      <c r="G10" s="2"/>
      <c r="H10" s="2"/>
      <c r="I10" s="2"/>
      <c r="J10" s="2"/>
      <c r="K10" s="2"/>
      <c r="L10" s="2"/>
      <c r="M10" s="61"/>
      <c r="N10" s="61"/>
      <c r="O10" s="2"/>
      <c r="P10" s="2"/>
    </row>
    <row r="11" spans="1:16" ht="16.5" x14ac:dyDescent="0.25">
      <c r="A11" s="2"/>
      <c r="B11" s="2"/>
      <c r="C11" s="2"/>
      <c r="D11" s="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16.5" x14ac:dyDescent="0.25">
      <c r="A12" s="2"/>
      <c r="B12" s="2"/>
      <c r="C12" s="2" t="s">
        <v>16</v>
      </c>
      <c r="D12" s="4">
        <v>30</v>
      </c>
      <c r="E12" s="2" t="s">
        <v>17</v>
      </c>
      <c r="F12" s="2"/>
      <c r="G12" s="2"/>
      <c r="H12" s="2"/>
      <c r="I12" s="2"/>
      <c r="J12" s="2"/>
      <c r="K12" s="2"/>
      <c r="L12" s="2"/>
      <c r="M12" s="2" t="s">
        <v>12</v>
      </c>
      <c r="N12" s="3">
        <v>7850</v>
      </c>
      <c r="O12" s="52" t="s">
        <v>42</v>
      </c>
      <c r="P12" s="52"/>
    </row>
    <row r="13" spans="1:16" ht="20.25" x14ac:dyDescent="0.25">
      <c r="A13" s="2"/>
      <c r="B13" s="2"/>
      <c r="C13" s="2" t="s">
        <v>18</v>
      </c>
      <c r="D13" s="18">
        <v>120</v>
      </c>
      <c r="E13" s="2" t="s">
        <v>17</v>
      </c>
      <c r="F13" s="2"/>
      <c r="G13" s="2"/>
      <c r="H13" s="2"/>
      <c r="I13" s="2"/>
      <c r="J13" s="2"/>
      <c r="K13" s="2"/>
      <c r="L13" s="2"/>
      <c r="M13" s="2" t="s">
        <v>13</v>
      </c>
      <c r="N13" s="3">
        <v>101.325</v>
      </c>
      <c r="O13" s="52"/>
      <c r="P13" s="52"/>
    </row>
    <row r="14" spans="1:16" ht="16.5" x14ac:dyDescent="0.25">
      <c r="A14" s="2"/>
      <c r="B14" s="2"/>
      <c r="C14" s="2"/>
      <c r="D14" s="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0.25" x14ac:dyDescent="0.25">
      <c r="A15" s="2"/>
      <c r="B15" s="2"/>
      <c r="C15" s="2" t="s">
        <v>60</v>
      </c>
      <c r="D15" s="46">
        <v>6</v>
      </c>
      <c r="E15" s="4" t="s">
        <v>59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0.25" x14ac:dyDescent="0.25">
      <c r="A16" s="2"/>
      <c r="B16" s="2"/>
      <c r="C16" s="2" t="s">
        <v>44</v>
      </c>
      <c r="D16" s="35">
        <v>1500</v>
      </c>
      <c r="E16" s="4" t="s">
        <v>24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6.5" x14ac:dyDescent="0.25">
      <c r="A17" s="2"/>
      <c r="B17" s="2"/>
      <c r="C17" s="2" t="s">
        <v>61</v>
      </c>
      <c r="D17" s="4">
        <f>D16*D15</f>
        <v>9000</v>
      </c>
      <c r="E17" s="4" t="s">
        <v>24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0.25" x14ac:dyDescent="0.25">
      <c r="A18" s="2"/>
      <c r="B18" s="2"/>
      <c r="C18" s="2" t="s">
        <v>62</v>
      </c>
      <c r="D18" s="4">
        <f>ROUNDUP(((D8/1000*F8/1000)*2)+((E8/1000*F8/1000)*2)+((D8/1000*E8/1000)*3)*N12/1000*H18,0)</f>
        <v>377</v>
      </c>
      <c r="E18" s="4" t="s">
        <v>24</v>
      </c>
      <c r="F18" s="4"/>
      <c r="G18" s="2" t="s">
        <v>23</v>
      </c>
      <c r="H18" s="19">
        <v>1.2</v>
      </c>
      <c r="I18" s="2" t="s">
        <v>6</v>
      </c>
      <c r="J18" s="52"/>
      <c r="K18" s="52"/>
      <c r="L18" s="52"/>
      <c r="M18" s="2"/>
      <c r="N18" s="2"/>
      <c r="O18" s="2"/>
      <c r="P18" s="2"/>
    </row>
    <row r="19" spans="1:16" ht="16.5" x14ac:dyDescent="0.25">
      <c r="A19" s="2"/>
      <c r="B19" s="2"/>
      <c r="C19" s="2" t="s">
        <v>63</v>
      </c>
      <c r="D19" s="4">
        <f>D17+D18</f>
        <v>9377</v>
      </c>
      <c r="E19" s="4" t="s">
        <v>24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16.5" x14ac:dyDescent="0.25">
      <c r="A20" s="2"/>
      <c r="B20" s="2"/>
      <c r="C20" s="2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16.5" x14ac:dyDescent="0.25">
      <c r="A21" s="2"/>
      <c r="B21" s="2"/>
      <c r="C21" s="2" t="s">
        <v>26</v>
      </c>
      <c r="D21" s="4" t="s">
        <v>10</v>
      </c>
      <c r="E21" s="4" t="s">
        <v>25</v>
      </c>
      <c r="F21" s="4" t="s">
        <v>28</v>
      </c>
      <c r="G21" s="52" t="s">
        <v>29</v>
      </c>
      <c r="H21" s="52"/>
      <c r="I21" s="4" t="s">
        <v>9</v>
      </c>
      <c r="J21" s="52" t="s">
        <v>14</v>
      </c>
      <c r="K21" s="52"/>
      <c r="L21" s="52"/>
      <c r="M21" s="2"/>
      <c r="N21" s="2"/>
      <c r="O21" s="2"/>
      <c r="P21" s="2"/>
    </row>
    <row r="22" spans="1:16" ht="16.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6.5" x14ac:dyDescent="0.25">
      <c r="A23" s="2"/>
      <c r="B23" s="2"/>
      <c r="C23" s="2"/>
      <c r="D23" s="4" t="s">
        <v>10</v>
      </c>
      <c r="E23" s="2">
        <f>D19</f>
        <v>9377</v>
      </c>
      <c r="F23" s="4" t="s">
        <v>9</v>
      </c>
      <c r="G23" s="4">
        <f>N6</f>
        <v>0.11</v>
      </c>
      <c r="H23" s="4" t="s">
        <v>27</v>
      </c>
      <c r="I23" s="2">
        <f>D13-D12</f>
        <v>90</v>
      </c>
      <c r="J23" s="2"/>
      <c r="K23" s="2"/>
      <c r="L23" s="2"/>
      <c r="M23" s="2"/>
      <c r="N23" s="2"/>
      <c r="O23" s="2"/>
      <c r="P23" s="2"/>
    </row>
    <row r="24" spans="1:16" ht="16.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" customHeight="1" x14ac:dyDescent="0.25">
      <c r="A25" s="2"/>
      <c r="B25" s="2"/>
      <c r="C25" s="2"/>
      <c r="D25" s="4" t="s">
        <v>10</v>
      </c>
      <c r="E25" s="24">
        <f>ROUNDUP((E23*G23*I23)+(E23*G23*I23)*10%,0)</f>
        <v>102116</v>
      </c>
      <c r="F25" s="2" t="s">
        <v>19</v>
      </c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16.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18.95" customHeight="1" x14ac:dyDescent="0.25">
      <c r="A27" s="2"/>
      <c r="B27" s="2"/>
      <c r="C27" s="2"/>
      <c r="D27" s="4" t="s">
        <v>10</v>
      </c>
      <c r="E27" s="24">
        <f>ROUNDUP(E25/860,0)</f>
        <v>119</v>
      </c>
      <c r="F27" s="2" t="s">
        <v>20</v>
      </c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spans="1:16" ht="16.5" x14ac:dyDescent="0.25">
      <c r="A29" s="25"/>
      <c r="B29" s="25"/>
      <c r="C29" s="2" t="s">
        <v>45</v>
      </c>
      <c r="D29" s="4" t="s">
        <v>10</v>
      </c>
      <c r="E29" s="4" t="s">
        <v>25</v>
      </c>
      <c r="F29" s="4" t="s">
        <v>31</v>
      </c>
      <c r="G29" s="52" t="s">
        <v>30</v>
      </c>
      <c r="H29" s="52"/>
      <c r="I29" s="4" t="s">
        <v>9</v>
      </c>
      <c r="J29" s="52" t="s">
        <v>14</v>
      </c>
      <c r="K29" s="52"/>
      <c r="L29" s="52"/>
      <c r="M29" s="2"/>
      <c r="N29" s="25"/>
      <c r="O29" s="25"/>
      <c r="P29" s="25"/>
    </row>
    <row r="30" spans="1:16" ht="16.5" x14ac:dyDescent="0.25">
      <c r="A30" s="25"/>
      <c r="B30" s="2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5"/>
      <c r="O30" s="25"/>
      <c r="P30" s="25"/>
    </row>
    <row r="31" spans="1:16" ht="16.5" x14ac:dyDescent="0.25">
      <c r="A31" s="25"/>
      <c r="B31" s="25"/>
      <c r="C31" s="2"/>
      <c r="D31" s="4" t="s">
        <v>10</v>
      </c>
      <c r="E31" s="2">
        <f>D10*N13</f>
        <v>3647.7000000000003</v>
      </c>
      <c r="F31" s="4" t="s">
        <v>9</v>
      </c>
      <c r="G31" s="4">
        <f>N7</f>
        <v>0.24</v>
      </c>
      <c r="H31" s="4">
        <f>D13-D12</f>
        <v>90</v>
      </c>
      <c r="I31" s="2"/>
      <c r="J31" s="2"/>
      <c r="K31" s="2"/>
      <c r="L31" s="2"/>
      <c r="M31" s="2"/>
      <c r="N31" s="25"/>
      <c r="O31" s="25"/>
      <c r="P31" s="25"/>
    </row>
    <row r="32" spans="1:16" ht="16.5" x14ac:dyDescent="0.25">
      <c r="A32" s="25"/>
      <c r="B32" s="2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5"/>
      <c r="O32" s="25"/>
      <c r="P32" s="25"/>
    </row>
    <row r="33" spans="1:19" ht="23.45" customHeight="1" x14ac:dyDescent="0.25">
      <c r="A33" s="25"/>
      <c r="B33" s="25"/>
      <c r="C33" s="2"/>
      <c r="D33" s="4" t="s">
        <v>10</v>
      </c>
      <c r="E33" s="24">
        <f>ROUNDUP((E31*G31*H31)+(E31*G31*H31)*10%,0)</f>
        <v>86670</v>
      </c>
      <c r="F33" s="2" t="s">
        <v>19</v>
      </c>
      <c r="G33" s="2"/>
      <c r="H33" s="2"/>
      <c r="I33" s="2"/>
      <c r="J33" s="2"/>
      <c r="K33" s="2"/>
      <c r="L33" s="2"/>
      <c r="M33" s="2"/>
      <c r="N33" s="25"/>
      <c r="O33" s="25"/>
      <c r="P33" s="25"/>
      <c r="S33" s="26"/>
    </row>
    <row r="34" spans="1:19" ht="21.75" x14ac:dyDescent="0.25">
      <c r="A34" s="25"/>
      <c r="B34" s="25"/>
      <c r="C34" s="2"/>
      <c r="D34" s="2"/>
      <c r="E34" s="2"/>
      <c r="F34" s="2"/>
      <c r="G34" s="2"/>
      <c r="H34" s="2"/>
      <c r="I34" s="2"/>
      <c r="J34" s="62" t="s">
        <v>46</v>
      </c>
      <c r="K34" s="47">
        <f>E25+E33</f>
        <v>188786</v>
      </c>
      <c r="L34" s="2" t="s">
        <v>47</v>
      </c>
      <c r="M34" s="2"/>
      <c r="N34" s="25"/>
      <c r="O34" s="25"/>
      <c r="P34" s="25"/>
    </row>
    <row r="35" spans="1:19" ht="21.75" x14ac:dyDescent="0.25">
      <c r="A35" s="25"/>
      <c r="B35" s="25"/>
      <c r="C35" s="2"/>
      <c r="D35" s="4" t="s">
        <v>10</v>
      </c>
      <c r="E35" s="24">
        <f>ROUNDUP(E33/860,0)</f>
        <v>101</v>
      </c>
      <c r="F35" s="2" t="s">
        <v>20</v>
      </c>
      <c r="G35" s="2"/>
      <c r="H35" s="2"/>
      <c r="I35" s="2"/>
      <c r="J35" s="62"/>
      <c r="K35" s="47">
        <f>ROUNDUP(E27+E35,0)</f>
        <v>220</v>
      </c>
      <c r="L35" s="2" t="s">
        <v>20</v>
      </c>
      <c r="M35" s="2"/>
      <c r="N35" s="25"/>
      <c r="O35" s="25"/>
      <c r="P35" s="25"/>
    </row>
    <row r="36" spans="1:19" ht="16.5" x14ac:dyDescent="0.25">
      <c r="A36" s="25"/>
      <c r="B36" s="2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5"/>
      <c r="O36" s="25"/>
      <c r="P36" s="25"/>
    </row>
    <row r="37" spans="1:19" ht="16.5" x14ac:dyDescent="0.25">
      <c r="A37" s="25"/>
      <c r="B37" s="2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5"/>
      <c r="O37" s="25"/>
      <c r="P37" s="25"/>
    </row>
    <row r="38" spans="1:19" ht="16.5" x14ac:dyDescent="0.25"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</sheetData>
  <sheetProtection selectLockedCells="1"/>
  <mergeCells count="12">
    <mergeCell ref="M9:N10"/>
    <mergeCell ref="O6:P7"/>
    <mergeCell ref="M4:N4"/>
    <mergeCell ref="O12:P13"/>
    <mergeCell ref="J34:J35"/>
    <mergeCell ref="J18:L18"/>
    <mergeCell ref="G29:H29"/>
    <mergeCell ref="J29:L29"/>
    <mergeCell ref="G21:H21"/>
    <mergeCell ref="J21:L21"/>
    <mergeCell ref="B3:C3"/>
    <mergeCell ref="B5:B6"/>
  </mergeCells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2B167-0BB2-42A3-849C-A7FE548C93F7}">
  <dimension ref="A1:S48"/>
  <sheetViews>
    <sheetView tabSelected="1" zoomScale="80" zoomScaleNormal="80" workbookViewId="0">
      <pane ySplit="37" topLeftCell="A62" activePane="bottomLeft" state="frozen"/>
      <selection pane="bottomLeft" activeCell="S13" sqref="S13"/>
    </sheetView>
  </sheetViews>
  <sheetFormatPr defaultColWidth="9.140625" defaultRowHeight="16.5" x14ac:dyDescent="0.25"/>
  <cols>
    <col min="1" max="1" width="6.42578125" style="30" customWidth="1"/>
    <col min="2" max="2" width="20.5703125" style="30" customWidth="1"/>
    <col min="3" max="3" width="27.5703125" style="30" customWidth="1"/>
    <col min="4" max="4" width="12" style="30" customWidth="1"/>
    <col min="5" max="5" width="11.85546875" style="30" bestFit="1" customWidth="1"/>
    <col min="6" max="6" width="13.140625" style="30" bestFit="1" customWidth="1"/>
    <col min="7" max="7" width="29.140625" style="30" customWidth="1"/>
    <col min="8" max="8" width="9.7109375" style="30" customWidth="1"/>
    <col min="9" max="9" width="8.28515625" style="30" customWidth="1"/>
    <col min="10" max="10" width="17.7109375" style="30" customWidth="1"/>
    <col min="11" max="11" width="14.28515625" style="30" bestFit="1" customWidth="1"/>
    <col min="12" max="12" width="9.140625" style="30" customWidth="1"/>
    <col min="13" max="13" width="17.140625" style="30" customWidth="1"/>
    <col min="14" max="14" width="7.85546875" style="30" bestFit="1" customWidth="1"/>
    <col min="15" max="15" width="9.140625" style="30"/>
    <col min="16" max="16" width="16.42578125" style="30" customWidth="1"/>
    <col min="17" max="16384" width="9.140625" style="30"/>
  </cols>
  <sheetData>
    <row r="1" spans="1:1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24.75" x14ac:dyDescent="0.25">
      <c r="A2" s="2"/>
      <c r="B2" s="55" t="s">
        <v>39</v>
      </c>
      <c r="C2" s="68"/>
      <c r="D2" s="69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24.75" x14ac:dyDescent="0.25">
      <c r="A3" s="2"/>
      <c r="B3" s="29"/>
      <c r="C3" s="29"/>
      <c r="D3" s="29"/>
      <c r="E3" s="2"/>
      <c r="F3" s="2"/>
      <c r="G3" s="2"/>
      <c r="H3" s="2"/>
      <c r="I3" s="2"/>
      <c r="J3" s="2"/>
      <c r="K3" s="2"/>
      <c r="L3" s="2"/>
      <c r="M3" s="70" t="s">
        <v>34</v>
      </c>
      <c r="N3" s="71"/>
      <c r="O3" s="2"/>
      <c r="P3" s="2"/>
    </row>
    <row r="4" spans="1:16" ht="21.75" x14ac:dyDescent="0.25">
      <c r="A4" s="2"/>
      <c r="B4" s="22" t="s">
        <v>41</v>
      </c>
      <c r="C4" s="23"/>
      <c r="D4" s="2"/>
      <c r="E4" s="2"/>
      <c r="F4" s="2"/>
      <c r="G4" s="2"/>
      <c r="H4" s="2"/>
      <c r="I4" s="2"/>
      <c r="J4" s="2"/>
      <c r="K4" s="2"/>
      <c r="L4" s="2"/>
      <c r="M4" s="2"/>
      <c r="N4" s="3"/>
      <c r="O4" s="2"/>
      <c r="P4" s="2"/>
    </row>
    <row r="5" spans="1:16" x14ac:dyDescent="0.25">
      <c r="A5" s="2"/>
      <c r="B5" s="2"/>
      <c r="C5" s="2"/>
      <c r="D5" s="4" t="s">
        <v>1</v>
      </c>
      <c r="E5" s="4" t="s">
        <v>2</v>
      </c>
      <c r="F5" s="4" t="s">
        <v>3</v>
      </c>
      <c r="G5" s="2"/>
      <c r="H5" s="2"/>
      <c r="I5" s="2"/>
      <c r="J5" s="2"/>
      <c r="K5" s="2"/>
      <c r="L5" s="2"/>
      <c r="M5" s="2" t="s">
        <v>12</v>
      </c>
      <c r="N5" s="3">
        <v>0.11</v>
      </c>
      <c r="O5" s="52" t="s">
        <v>33</v>
      </c>
      <c r="P5" s="52"/>
    </row>
    <row r="6" spans="1:16" ht="14.45" customHeight="1" x14ac:dyDescent="0.25">
      <c r="A6" s="2"/>
      <c r="B6" s="2"/>
      <c r="C6" s="2" t="s">
        <v>4</v>
      </c>
      <c r="D6" s="4" t="s">
        <v>6</v>
      </c>
      <c r="E6" s="4" t="s">
        <v>6</v>
      </c>
      <c r="F6" s="4" t="s">
        <v>6</v>
      </c>
      <c r="G6" s="2"/>
      <c r="H6" s="2"/>
      <c r="I6" s="2"/>
      <c r="J6" s="2"/>
      <c r="K6" s="2"/>
      <c r="L6" s="2"/>
      <c r="M6" s="2" t="s">
        <v>13</v>
      </c>
      <c r="N6" s="3">
        <v>0.24</v>
      </c>
      <c r="O6" s="52"/>
      <c r="P6" s="52"/>
    </row>
    <row r="7" spans="1:16" ht="26.45" customHeight="1" x14ac:dyDescent="0.25">
      <c r="A7" s="2"/>
      <c r="B7" s="2"/>
      <c r="C7" s="2" t="s">
        <v>5</v>
      </c>
      <c r="D7" s="37">
        <v>25000</v>
      </c>
      <c r="E7" s="37">
        <v>2100</v>
      </c>
      <c r="F7" s="37">
        <v>3000</v>
      </c>
      <c r="G7" s="2"/>
      <c r="H7" s="2"/>
      <c r="I7" s="2"/>
      <c r="J7" s="2"/>
      <c r="K7" s="2"/>
      <c r="L7" s="2"/>
      <c r="M7" s="2"/>
      <c r="N7" s="3"/>
      <c r="O7" s="2"/>
      <c r="P7" s="2"/>
    </row>
    <row r="8" spans="1:16" ht="15.6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72" t="s">
        <v>48</v>
      </c>
      <c r="N8" s="72"/>
      <c r="O8" s="2"/>
      <c r="P8" s="2"/>
    </row>
    <row r="9" spans="1:16" ht="16.5" customHeight="1" x14ac:dyDescent="0.25">
      <c r="A9" s="2"/>
      <c r="B9" s="2"/>
      <c r="C9" s="2" t="s">
        <v>7</v>
      </c>
      <c r="D9" s="2">
        <f>ROUNDUP((D7/1000)*(E7/1000)*(F7/1000),0)</f>
        <v>158</v>
      </c>
      <c r="E9" s="2" t="s">
        <v>21</v>
      </c>
      <c r="F9" s="2"/>
      <c r="G9" s="2"/>
      <c r="H9" s="2"/>
      <c r="I9" s="2"/>
      <c r="J9" s="2"/>
      <c r="K9" s="2"/>
      <c r="L9" s="2"/>
      <c r="M9" s="72"/>
      <c r="N9" s="72"/>
      <c r="O9" s="2"/>
      <c r="P9" s="2"/>
    </row>
    <row r="10" spans="1:1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2"/>
      <c r="B11" s="2"/>
      <c r="C11" s="2" t="s">
        <v>16</v>
      </c>
      <c r="D11" s="2">
        <v>30</v>
      </c>
      <c r="E11" s="2" t="s">
        <v>17</v>
      </c>
      <c r="F11" s="2"/>
      <c r="G11" s="2"/>
      <c r="H11" s="2"/>
      <c r="I11" s="2"/>
      <c r="J11" s="2"/>
      <c r="K11" s="2"/>
      <c r="L11" s="2"/>
      <c r="M11" s="2" t="s">
        <v>12</v>
      </c>
      <c r="N11" s="3">
        <v>7850</v>
      </c>
      <c r="O11" s="52" t="s">
        <v>42</v>
      </c>
      <c r="P11" s="52"/>
    </row>
    <row r="12" spans="1:16" ht="20.25" x14ac:dyDescent="0.25">
      <c r="A12" s="2"/>
      <c r="B12" s="2"/>
      <c r="C12" s="2" t="s">
        <v>18</v>
      </c>
      <c r="D12" s="36">
        <v>220</v>
      </c>
      <c r="E12" s="2" t="s">
        <v>17</v>
      </c>
      <c r="F12" s="2"/>
      <c r="G12" s="2"/>
      <c r="H12" s="2"/>
      <c r="I12" s="2"/>
      <c r="J12" s="2"/>
      <c r="K12" s="2"/>
      <c r="L12" s="2"/>
      <c r="M12" s="2" t="s">
        <v>13</v>
      </c>
      <c r="N12" s="3">
        <v>1.204</v>
      </c>
      <c r="O12" s="52"/>
      <c r="P12" s="52"/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0.25" x14ac:dyDescent="0.25">
      <c r="A14" s="2"/>
      <c r="B14" s="2"/>
      <c r="C14" s="2" t="s">
        <v>50</v>
      </c>
      <c r="D14" s="35">
        <v>4000</v>
      </c>
      <c r="E14" s="4" t="s">
        <v>24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0.25" x14ac:dyDescent="0.25">
      <c r="A15" s="2"/>
      <c r="B15" s="2"/>
      <c r="C15" s="2" t="s">
        <v>49</v>
      </c>
      <c r="D15" s="34">
        <v>2500</v>
      </c>
      <c r="E15" s="4" t="s">
        <v>24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0.25" x14ac:dyDescent="0.25">
      <c r="A16" s="2"/>
      <c r="B16" s="2"/>
      <c r="C16" s="2"/>
      <c r="D16" s="27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9" ht="20.25" x14ac:dyDescent="0.25">
      <c r="A17" s="2"/>
      <c r="B17" s="2"/>
      <c r="C17" s="2" t="s">
        <v>43</v>
      </c>
      <c r="D17" s="4">
        <f>ROUNDUP(((D7/1000*F7/1000)*2)+((E7/1000*F7/1000)*2)+((D7/1000*E7/1000)*3)*N11/1000*H17,0)</f>
        <v>1647</v>
      </c>
      <c r="E17" s="4" t="s">
        <v>24</v>
      </c>
      <c r="F17" s="4"/>
      <c r="G17" s="2" t="s">
        <v>23</v>
      </c>
      <c r="H17" s="19">
        <v>1.2</v>
      </c>
      <c r="I17" s="2" t="s">
        <v>6</v>
      </c>
      <c r="J17" s="52"/>
      <c r="K17" s="52"/>
      <c r="L17" s="52"/>
      <c r="M17" s="2"/>
      <c r="N17" s="2"/>
      <c r="O17" s="2"/>
      <c r="P17" s="2"/>
    </row>
    <row r="18" spans="1:19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9" x14ac:dyDescent="0.25">
      <c r="A19" s="2"/>
      <c r="B19" s="2"/>
      <c r="C19" s="2" t="s">
        <v>26</v>
      </c>
      <c r="D19" s="4" t="s">
        <v>10</v>
      </c>
      <c r="E19" s="4" t="s">
        <v>25</v>
      </c>
      <c r="F19" s="4" t="s">
        <v>28</v>
      </c>
      <c r="G19" s="52" t="s">
        <v>32</v>
      </c>
      <c r="H19" s="52"/>
      <c r="I19" s="4" t="s">
        <v>9</v>
      </c>
      <c r="J19" s="52" t="s">
        <v>14</v>
      </c>
      <c r="K19" s="52"/>
      <c r="L19" s="52"/>
      <c r="M19" s="2"/>
      <c r="N19" s="2"/>
      <c r="O19" s="2"/>
      <c r="P19" s="2"/>
    </row>
    <row r="20" spans="1:19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9" x14ac:dyDescent="0.25">
      <c r="A21" s="2"/>
      <c r="B21" s="2"/>
      <c r="C21" s="2"/>
      <c r="D21" s="4" t="s">
        <v>10</v>
      </c>
      <c r="E21" s="2">
        <f>D17+D15+D14</f>
        <v>8147</v>
      </c>
      <c r="F21" s="4" t="s">
        <v>9</v>
      </c>
      <c r="G21" s="4">
        <f>N5</f>
        <v>0.11</v>
      </c>
      <c r="H21" s="4" t="s">
        <v>27</v>
      </c>
      <c r="I21" s="2">
        <f>D12-D11</f>
        <v>190</v>
      </c>
      <c r="J21" s="2"/>
      <c r="K21" s="2"/>
      <c r="L21" s="2"/>
      <c r="M21" s="2"/>
      <c r="N21" s="2"/>
      <c r="O21" s="2"/>
      <c r="P21" s="2"/>
    </row>
    <row r="22" spans="1:19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9" x14ac:dyDescent="0.25">
      <c r="A23" s="2"/>
      <c r="B23" s="2"/>
      <c r="C23" s="2"/>
      <c r="D23" s="4" t="s">
        <v>10</v>
      </c>
      <c r="E23" s="24">
        <f>ROUNDUP((E21*G21*I21),0)</f>
        <v>170273</v>
      </c>
      <c r="F23" s="2" t="s">
        <v>19</v>
      </c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9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9" x14ac:dyDescent="0.25">
      <c r="A25" s="2"/>
      <c r="B25" s="2"/>
      <c r="C25" s="2"/>
      <c r="D25" s="4" t="s">
        <v>10</v>
      </c>
      <c r="E25" s="24">
        <f>ROUNDUP(E23/860,0)</f>
        <v>198</v>
      </c>
      <c r="F25" s="2" t="s">
        <v>20</v>
      </c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9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19" x14ac:dyDescent="0.25">
      <c r="A27" s="31"/>
      <c r="B27" s="31"/>
      <c r="C27" s="2" t="s">
        <v>45</v>
      </c>
      <c r="D27" s="4" t="s">
        <v>10</v>
      </c>
      <c r="E27" s="4" t="s">
        <v>7</v>
      </c>
      <c r="F27" s="4" t="s">
        <v>31</v>
      </c>
      <c r="G27" s="52" t="s">
        <v>30</v>
      </c>
      <c r="H27" s="52"/>
      <c r="I27" s="4" t="s">
        <v>9</v>
      </c>
      <c r="J27" s="52" t="s">
        <v>14</v>
      </c>
      <c r="K27" s="52"/>
      <c r="L27" s="52"/>
      <c r="M27" s="2"/>
      <c r="N27" s="31"/>
      <c r="O27" s="31"/>
      <c r="P27" s="31"/>
    </row>
    <row r="28" spans="1:19" x14ac:dyDescent="0.25">
      <c r="A28" s="31"/>
      <c r="B28" s="3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31"/>
      <c r="O28" s="31"/>
      <c r="P28" s="31"/>
    </row>
    <row r="29" spans="1:19" x14ac:dyDescent="0.25">
      <c r="A29" s="31"/>
      <c r="B29" s="31"/>
      <c r="C29" s="2"/>
      <c r="D29" s="4" t="s">
        <v>10</v>
      </c>
      <c r="E29" s="2">
        <f>D9*N12</f>
        <v>190.232</v>
      </c>
      <c r="F29" s="4" t="s">
        <v>9</v>
      </c>
      <c r="G29" s="4">
        <f>N6</f>
        <v>0.24</v>
      </c>
      <c r="H29" s="4">
        <f>D12-D11</f>
        <v>190</v>
      </c>
      <c r="I29" s="2"/>
      <c r="J29" s="2"/>
      <c r="K29" s="2"/>
      <c r="L29" s="2"/>
      <c r="M29" s="63" t="s">
        <v>52</v>
      </c>
      <c r="N29" s="64"/>
      <c r="O29" s="31"/>
      <c r="P29" s="31"/>
    </row>
    <row r="30" spans="1:19" x14ac:dyDescent="0.25">
      <c r="A30" s="31"/>
      <c r="B30" s="31"/>
      <c r="C30" s="2"/>
      <c r="D30" s="2"/>
      <c r="E30" s="2"/>
      <c r="F30" s="2"/>
      <c r="G30" s="2"/>
      <c r="H30" s="2"/>
      <c r="I30" s="2"/>
      <c r="J30" s="2"/>
      <c r="K30" s="2"/>
      <c r="L30" s="2"/>
      <c r="M30" s="65"/>
      <c r="N30" s="66"/>
      <c r="O30" s="31"/>
      <c r="P30" s="31"/>
    </row>
    <row r="31" spans="1:19" x14ac:dyDescent="0.25">
      <c r="A31" s="31"/>
      <c r="B31" s="31"/>
      <c r="C31" s="2"/>
      <c r="D31" s="4" t="s">
        <v>10</v>
      </c>
      <c r="E31" s="24">
        <f>ROUNDUP(E29*G29*H29,0)</f>
        <v>8675</v>
      </c>
      <c r="F31" s="2" t="s">
        <v>19</v>
      </c>
      <c r="G31" s="2"/>
      <c r="H31" s="2"/>
      <c r="I31" s="2"/>
      <c r="J31" s="2"/>
      <c r="K31" s="2"/>
      <c r="L31" s="2"/>
      <c r="M31" s="2"/>
      <c r="N31" s="31"/>
      <c r="O31" s="31"/>
      <c r="P31" s="31"/>
      <c r="S31" s="32"/>
    </row>
    <row r="32" spans="1:19" ht="21.75" x14ac:dyDescent="0.25">
      <c r="A32" s="31"/>
      <c r="B32" s="31"/>
      <c r="C32" s="2"/>
      <c r="D32" s="2"/>
      <c r="E32" s="2"/>
      <c r="F32" s="2"/>
      <c r="G32" s="74" t="s">
        <v>46</v>
      </c>
      <c r="H32" s="76">
        <f>(E23+E31)*1.15</f>
        <v>205790.19999999998</v>
      </c>
      <c r="I32" s="77"/>
      <c r="J32" s="28" t="s">
        <v>47</v>
      </c>
      <c r="K32" s="52"/>
      <c r="L32" s="52"/>
      <c r="M32" s="2" t="s">
        <v>53</v>
      </c>
      <c r="N32" s="33" t="s">
        <v>10</v>
      </c>
      <c r="O32" s="38">
        <v>0.4</v>
      </c>
      <c r="P32" s="67" t="s">
        <v>56</v>
      </c>
    </row>
    <row r="33" spans="1:16" ht="21.75" x14ac:dyDescent="0.25">
      <c r="A33" s="31"/>
      <c r="B33" s="31"/>
      <c r="C33" s="2"/>
      <c r="D33" s="4" t="s">
        <v>10</v>
      </c>
      <c r="E33" s="24">
        <f>ROUNDUP(E31/860,0)</f>
        <v>11</v>
      </c>
      <c r="F33" s="2" t="s">
        <v>20</v>
      </c>
      <c r="G33" s="75"/>
      <c r="H33" s="76">
        <f>E25+E33+E37</f>
        <v>209</v>
      </c>
      <c r="I33" s="77"/>
      <c r="J33" s="28" t="s">
        <v>20</v>
      </c>
      <c r="K33" s="23"/>
      <c r="L33" s="2"/>
      <c r="M33" s="2" t="s">
        <v>54</v>
      </c>
      <c r="N33" s="33" t="s">
        <v>10</v>
      </c>
      <c r="O33" s="38">
        <v>0.35</v>
      </c>
      <c r="P33" s="67"/>
    </row>
    <row r="34" spans="1:16" x14ac:dyDescent="0.25">
      <c r="A34" s="31"/>
      <c r="B34" s="31"/>
      <c r="C34" s="2"/>
      <c r="D34" s="2"/>
      <c r="E34" s="2"/>
      <c r="F34" s="2"/>
      <c r="G34" s="2"/>
      <c r="H34" s="2"/>
      <c r="I34" s="2"/>
      <c r="J34" s="2"/>
      <c r="K34" s="2"/>
      <c r="L34" s="2"/>
      <c r="M34" s="2" t="s">
        <v>55</v>
      </c>
      <c r="N34" s="33" t="s">
        <v>10</v>
      </c>
      <c r="O34" s="38">
        <v>0.3</v>
      </c>
      <c r="P34" s="67"/>
    </row>
    <row r="35" spans="1:16" ht="21.75" x14ac:dyDescent="0.25">
      <c r="A35" s="31"/>
      <c r="B35" s="31"/>
      <c r="C35" s="2" t="s">
        <v>57</v>
      </c>
      <c r="D35" s="4" t="s">
        <v>10</v>
      </c>
      <c r="E35" s="2">
        <f>ROUNDUP((D7/1000*F7/1000)+(E7/1000*F7/1000)+(D7/1000*E7/1000),0)</f>
        <v>134</v>
      </c>
      <c r="F35" s="2" t="s">
        <v>51</v>
      </c>
      <c r="G35" s="73"/>
      <c r="H35" s="23"/>
      <c r="I35" s="2"/>
      <c r="J35" s="2"/>
      <c r="K35" s="2"/>
      <c r="L35" s="2"/>
      <c r="M35" s="2"/>
      <c r="N35" s="31"/>
      <c r="O35" s="31"/>
      <c r="P35" s="31"/>
    </row>
    <row r="36" spans="1:16" ht="21.75" x14ac:dyDescent="0.25">
      <c r="A36" s="31"/>
      <c r="B36" s="31"/>
      <c r="C36" s="2"/>
      <c r="D36" s="4" t="s">
        <v>10</v>
      </c>
      <c r="E36" s="24">
        <f>ROUNDUP((E35*((D12+273)-(D11+273))*O33)/1000,0)</f>
        <v>9</v>
      </c>
      <c r="F36" s="2" t="s">
        <v>20</v>
      </c>
      <c r="G36" s="73"/>
      <c r="H36" s="23"/>
      <c r="I36" s="2"/>
      <c r="J36" s="2"/>
      <c r="K36" s="2"/>
      <c r="L36" s="2"/>
      <c r="M36" s="2"/>
      <c r="N36" s="31"/>
      <c r="O36" s="31"/>
      <c r="P36" s="31"/>
    </row>
    <row r="37" spans="1:16" ht="21.75" x14ac:dyDescent="0.25">
      <c r="A37" s="31"/>
      <c r="B37" s="31"/>
      <c r="C37" s="2"/>
      <c r="D37" s="4"/>
      <c r="E37" s="2"/>
      <c r="F37" s="2"/>
      <c r="G37" s="73"/>
      <c r="H37" s="23"/>
      <c r="I37" s="2"/>
      <c r="J37" s="2"/>
      <c r="K37" s="2"/>
      <c r="L37" s="2"/>
      <c r="M37" s="2"/>
      <c r="N37" s="31"/>
      <c r="O37" s="31"/>
      <c r="P37" s="31"/>
    </row>
    <row r="38" spans="1:16" ht="15" customHeight="1" x14ac:dyDescent="0.25"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6" x14ac:dyDescent="0.25"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6" x14ac:dyDescent="0.25"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6" x14ac:dyDescent="0.25"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6" x14ac:dyDescent="0.25"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6" x14ac:dyDescent="0.25"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6" x14ac:dyDescent="0.25"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6" x14ac:dyDescent="0.25"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6" x14ac:dyDescent="0.25"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6" x14ac:dyDescent="0.25"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6" x14ac:dyDescent="0.25"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</sheetData>
  <sheetProtection selectLockedCells="1"/>
  <mergeCells count="17">
    <mergeCell ref="G35:G37"/>
    <mergeCell ref="G32:G33"/>
    <mergeCell ref="H32:I32"/>
    <mergeCell ref="H33:I33"/>
    <mergeCell ref="K32:L32"/>
    <mergeCell ref="M29:N30"/>
    <mergeCell ref="P32:P34"/>
    <mergeCell ref="B2:D2"/>
    <mergeCell ref="M3:N3"/>
    <mergeCell ref="O5:P6"/>
    <mergeCell ref="O11:P12"/>
    <mergeCell ref="G27:H27"/>
    <mergeCell ref="J27:L27"/>
    <mergeCell ref="J17:L17"/>
    <mergeCell ref="G19:H19"/>
    <mergeCell ref="J19:L19"/>
    <mergeCell ref="M8:N9"/>
  </mergeCells>
  <hyperlinks>
    <hyperlink ref="B2:C2" location="'Home Page'!A1" display="&lt;&lt;&lt;&lt; Home Page" xr:uid="{405EFFA4-A19E-47CE-8DE4-58E3D5A73FEA}"/>
  </hyperlink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 Page</vt:lpstr>
      <vt:lpstr>Tank</vt:lpstr>
      <vt:lpstr>Dry off Oven</vt:lpstr>
      <vt:lpstr>Curing Oven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Amirtha Sivam A</dc:creator>
  <cp:lastModifiedBy>Design Vitech</cp:lastModifiedBy>
  <dcterms:created xsi:type="dcterms:W3CDTF">2015-06-05T18:17:20Z</dcterms:created>
  <dcterms:modified xsi:type="dcterms:W3CDTF">2025-08-24T10:11:18Z</dcterms:modified>
</cp:coreProperties>
</file>