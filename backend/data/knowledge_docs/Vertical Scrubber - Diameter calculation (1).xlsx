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0\design\PROJECTS\PROJECT-2025-26\1014 - SS WET SCRUBBER (4000 CMH) - C2C\Technical\"/>
    </mc:Choice>
  </mc:AlternateContent>
  <xr:revisionPtr revIDLastSave="0" documentId="13_ncr:1_{DF14FAFF-38A6-46D4-BC82-B9706CCBCDC4}" xr6:coauthVersionLast="47" xr6:coauthVersionMax="47" xr10:uidLastSave="{00000000-0000-0000-0000-000000000000}"/>
  <bookViews>
    <workbookView xWindow="-120" yWindow="-120" windowWidth="29040" windowHeight="15720" xr2:uid="{EFE823FE-4607-4EA1-A563-C05E5B76C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 s="1"/>
  <c r="D34" i="1" s="1"/>
  <c r="D36" i="1" s="1"/>
  <c r="D37" i="1" s="1"/>
  <c r="D38" i="1" s="1"/>
  <c r="D39" i="1" s="1"/>
  <c r="D17" i="1"/>
  <c r="D18" i="1" s="1"/>
  <c r="D20" i="1" s="1"/>
  <c r="D22" i="1" s="1"/>
  <c r="D23" i="1" s="1"/>
  <c r="D24" i="1" s="1"/>
  <c r="D25" i="1" s="1"/>
  <c r="E36" i="1"/>
  <c r="E22" i="1"/>
  <c r="E9" i="1"/>
  <c r="D5" i="1"/>
  <c r="D7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<sst xmlns="http://schemas.openxmlformats.org/spreadsheetml/2006/main" count="60" uniqueCount="21">
  <si>
    <t>cmh</t>
  </si>
  <si>
    <t>m3/sec</t>
  </si>
  <si>
    <t>m/sec</t>
  </si>
  <si>
    <t>m2</t>
  </si>
  <si>
    <t>πr2</t>
  </si>
  <si>
    <t>m</t>
  </si>
  <si>
    <t>mm</t>
  </si>
  <si>
    <t>D</t>
  </si>
  <si>
    <t xml:space="preserve">Air volume </t>
  </si>
  <si>
    <t>Scrubber diameter calculation</t>
  </si>
  <si>
    <t>Across velocity</t>
  </si>
  <si>
    <t>Crross ctional area</t>
  </si>
  <si>
    <t>Radius</t>
  </si>
  <si>
    <t>Diameter</t>
  </si>
  <si>
    <t>~ 300</t>
  </si>
  <si>
    <t>Scrubber Inlet Duct diameter calculation</t>
  </si>
  <si>
    <t>Scrubber Exhaust Duct diameter calculation</t>
  </si>
  <si>
    <t>~ 350</t>
  </si>
  <si>
    <t>Area       a</t>
  </si>
  <si>
    <t>~ 950</t>
  </si>
  <si>
    <t>Cross ctional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</si>
</sst>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3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1" fillId="0" borderId="0" xfId="0" applyFont="1"/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D32C-A50A-4746-A5C9-3E33067FAF64}">
  <dimension ref="C2:E40"/>
  <sheetViews>
    <sheetView tabSelected="1" zoomScale="115" zoomScaleNormal="115" workbookViewId="0">
      <selection activeCell="E21" sqref="E21"/>
    </sheetView>
  </sheetViews>
  <sheetFormatPr defaultRowHeight="15" x14ac:dyDescent="0.25"/>
  <cols>
    <col min="3" max="3" width="25.42578125" customWidth="1"/>
    <col min="4" max="4" width="21" customWidth="1"/>
    <col min="5" max="5" width="18.140625" customWidth="1"/>
  </cols>
  <sheetData>
    <row r="2" spans="3:5" x14ac:dyDescent="0.25">
      <c r="C2" s="9" t="s">
        <v>9</v>
      </c>
    </row>
    <row r="4" spans="3:5" x14ac:dyDescent="0.25">
      <c r="C4" s="1" t="s">
        <v>8</v>
      </c>
      <c r="D4" s="2">
        <v>6750</v>
      </c>
      <c r="E4" s="1" t="s">
        <v>0</v>
      </c>
    </row>
    <row r="5" spans="3:5" x14ac:dyDescent="0.25">
      <c r="C5" s="1"/>
      <c r="D5" s="3">
        <f>D4/3600</f>
        <v>1.875</v>
      </c>
      <c r="E5" s="1" t="s">
        <v>1</v>
      </c>
    </row>
    <row r="6" spans="3:5" x14ac:dyDescent="0.25">
      <c r="C6" s="1" t="s">
        <v>10</v>
      </c>
      <c r="D6" s="10">
        <v>1</v>
      </c>
      <c r="E6" s="1" t="s">
        <v>2</v>
      </c>
    </row>
    <row r="7" spans="3:5" x14ac:dyDescent="0.25">
      <c r="C7" s="1" t="s">
        <v>20</v>
      </c>
      <c r="D7" s="3">
        <f>D5/D6</f>
        <v>1.875</v>
      </c>
      <c r="E7" s="1" t="s">
        <v>3</v>
      </c>
    </row>
    <row r="8" spans="3:5" x14ac:dyDescent="0.25">
      <c r="C8" s="8" t="s">
        <v>18</v>
      </c>
      <c r="D8" s="4" t="s">
        <v>4</v>
      </c>
      <c r="E8" s="1" t="s">
        <v>3</v>
      </c>
    </row>
    <row r="9" spans="3:5" x14ac:dyDescent="0.25">
      <c r="C9" s="1" t="s">
        <v>4</v>
      </c>
      <c r="D9" s="3">
        <f>D7</f>
        <v>1.875</v>
      </c>
      <c r="E9" s="1" t="str">
        <f>E7</f>
        <v>m2</v>
      </c>
    </row>
    <row r="10" spans="3:5" ht="15.75" x14ac:dyDescent="0.25">
      <c r="C10" s="1"/>
      <c r="D10" s="5">
        <f>SQRT(D9/3.14)</f>
        <v>0.77274430309241582</v>
      </c>
      <c r="E10" s="1" t="s">
        <v>5</v>
      </c>
    </row>
    <row r="11" spans="3:5" x14ac:dyDescent="0.25">
      <c r="C11" s="1" t="s">
        <v>12</v>
      </c>
      <c r="D11" s="6">
        <f>D10*1000</f>
        <v>772.74430309241586</v>
      </c>
      <c r="E11" s="1" t="s">
        <v>6</v>
      </c>
    </row>
    <row r="12" spans="3:5" x14ac:dyDescent="0.25">
      <c r="C12" s="1" t="s">
        <v>13</v>
      </c>
      <c r="D12" s="6">
        <f>D11*2</f>
        <v>1545.4886061848317</v>
      </c>
      <c r="E12" s="1" t="s">
        <v>6</v>
      </c>
    </row>
    <row r="13" spans="3:5" x14ac:dyDescent="0.25">
      <c r="C13" s="1" t="s">
        <v>7</v>
      </c>
      <c r="D13" s="7" t="s">
        <v>19</v>
      </c>
      <c r="E13" s="1" t="s">
        <v>6</v>
      </c>
    </row>
    <row r="15" spans="3:5" x14ac:dyDescent="0.25">
      <c r="C15" s="9" t="s">
        <v>15</v>
      </c>
    </row>
    <row r="17" spans="3:5" x14ac:dyDescent="0.25">
      <c r="C17" s="1" t="s">
        <v>8</v>
      </c>
      <c r="D17" s="2">
        <f>D4</f>
        <v>6750</v>
      </c>
      <c r="E17" s="1" t="s">
        <v>0</v>
      </c>
    </row>
    <row r="18" spans="3:5" x14ac:dyDescent="0.25">
      <c r="C18" s="1"/>
      <c r="D18" s="3">
        <f>D17/3600</f>
        <v>1.875</v>
      </c>
      <c r="E18" s="1" t="s">
        <v>1</v>
      </c>
    </row>
    <row r="19" spans="3:5" x14ac:dyDescent="0.25">
      <c r="C19" s="1" t="s">
        <v>10</v>
      </c>
      <c r="D19" s="4">
        <v>15</v>
      </c>
      <c r="E19" s="1" t="s">
        <v>2</v>
      </c>
    </row>
    <row r="20" spans="3:5" x14ac:dyDescent="0.25">
      <c r="C20" s="1" t="s">
        <v>11</v>
      </c>
      <c r="D20" s="3">
        <f>D18/D19</f>
        <v>0.125</v>
      </c>
      <c r="E20" s="1" t="s">
        <v>3</v>
      </c>
    </row>
    <row r="21" spans="3:5" x14ac:dyDescent="0.25">
      <c r="C21" s="8" t="s">
        <v>18</v>
      </c>
      <c r="D21" s="4" t="s">
        <v>4</v>
      </c>
      <c r="E21" s="1" t="s">
        <v>3</v>
      </c>
    </row>
    <row r="22" spans="3:5" x14ac:dyDescent="0.25">
      <c r="C22" s="1" t="s">
        <v>4</v>
      </c>
      <c r="D22" s="3">
        <f>D20</f>
        <v>0.125</v>
      </c>
      <c r="E22" s="1" t="str">
        <f>E20</f>
        <v>m2</v>
      </c>
    </row>
    <row r="23" spans="3:5" ht="15.75" x14ac:dyDescent="0.25">
      <c r="C23" s="1"/>
      <c r="D23" s="5">
        <f>SQRT(D22/3.14)</f>
        <v>0.19952172111690553</v>
      </c>
      <c r="E23" s="1" t="s">
        <v>5</v>
      </c>
    </row>
    <row r="24" spans="3:5" x14ac:dyDescent="0.25">
      <c r="C24" s="1" t="s">
        <v>12</v>
      </c>
      <c r="D24" s="6">
        <f>D23*1000</f>
        <v>199.52172111690552</v>
      </c>
      <c r="E24" s="1" t="s">
        <v>6</v>
      </c>
    </row>
    <row r="25" spans="3:5" x14ac:dyDescent="0.25">
      <c r="C25" s="1" t="s">
        <v>13</v>
      </c>
      <c r="D25" s="6">
        <f>D24*2</f>
        <v>399.04344223381105</v>
      </c>
      <c r="E25" s="1" t="s">
        <v>6</v>
      </c>
    </row>
    <row r="26" spans="3:5" x14ac:dyDescent="0.25">
      <c r="C26" s="1" t="s">
        <v>7</v>
      </c>
      <c r="D26" s="7" t="s">
        <v>14</v>
      </c>
      <c r="E26" s="1" t="s">
        <v>6</v>
      </c>
    </row>
    <row r="29" spans="3:5" x14ac:dyDescent="0.25">
      <c r="C29" s="9" t="s">
        <v>16</v>
      </c>
    </row>
    <row r="31" spans="3:5" x14ac:dyDescent="0.25">
      <c r="C31" s="1" t="s">
        <v>8</v>
      </c>
      <c r="D31" s="2">
        <f>D4</f>
        <v>6750</v>
      </c>
      <c r="E31" s="1" t="s">
        <v>0</v>
      </c>
    </row>
    <row r="32" spans="3:5" x14ac:dyDescent="0.25">
      <c r="C32" s="1"/>
      <c r="D32" s="3">
        <f>D31/3600</f>
        <v>1.875</v>
      </c>
      <c r="E32" s="1" t="s">
        <v>1</v>
      </c>
    </row>
    <row r="33" spans="3:5" x14ac:dyDescent="0.25">
      <c r="C33" s="1" t="s">
        <v>10</v>
      </c>
      <c r="D33" s="4">
        <v>15</v>
      </c>
      <c r="E33" s="1" t="s">
        <v>2</v>
      </c>
    </row>
    <row r="34" spans="3:5" x14ac:dyDescent="0.25">
      <c r="C34" s="1" t="s">
        <v>11</v>
      </c>
      <c r="D34" s="3">
        <f>D32/D33</f>
        <v>0.125</v>
      </c>
      <c r="E34" s="1" t="s">
        <v>3</v>
      </c>
    </row>
    <row r="35" spans="3:5" x14ac:dyDescent="0.25">
      <c r="C35" s="8" t="s">
        <v>18</v>
      </c>
      <c r="D35" s="4" t="s">
        <v>4</v>
      </c>
      <c r="E35" s="1" t="s">
        <v>3</v>
      </c>
    </row>
    <row r="36" spans="3:5" x14ac:dyDescent="0.25">
      <c r="C36" s="1" t="s">
        <v>4</v>
      </c>
      <c r="D36" s="3">
        <f>D34</f>
        <v>0.125</v>
      </c>
      <c r="E36" s="1" t="str">
        <f>E34</f>
        <v>m2</v>
      </c>
    </row>
    <row r="37" spans="3:5" ht="15.75" x14ac:dyDescent="0.25">
      <c r="C37" s="1"/>
      <c r="D37" s="5">
        <f>SQRT(D36/3.14)</f>
        <v>0.19952172111690553</v>
      </c>
      <c r="E37" s="1" t="s">
        <v>5</v>
      </c>
    </row>
    <row r="38" spans="3:5" x14ac:dyDescent="0.25">
      <c r="C38" s="1" t="s">
        <v>12</v>
      </c>
      <c r="D38" s="6">
        <f>D37*1000</f>
        <v>199.52172111690552</v>
      </c>
      <c r="E38" s="1" t="s">
        <v>6</v>
      </c>
    </row>
    <row r="39" spans="3:5" x14ac:dyDescent="0.25">
      <c r="C39" s="1" t="s">
        <v>13</v>
      </c>
      <c r="D39" s="6">
        <f>D38*2</f>
        <v>399.04344223381105</v>
      </c>
      <c r="E39" s="1" t="s">
        <v>6</v>
      </c>
    </row>
    <row r="40" spans="3:5" x14ac:dyDescent="0.25">
      <c r="C40" s="1" t="s">
        <v>7</v>
      </c>
      <c r="D40" s="7" t="s">
        <v>17</v>
      </c>
      <c r="E4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Amirtha Sivam A</dc:creator>
  <cp:lastModifiedBy>Amirtha Sivam A</cp:lastModifiedBy>
  <dcterms:created xsi:type="dcterms:W3CDTF">2026-03-07T05:23:58Z</dcterms:created>
  <dcterms:modified xsi:type="dcterms:W3CDTF">2026-05-19T11:12:11Z</dcterms:modified>
</cp:coreProperties>
</file>