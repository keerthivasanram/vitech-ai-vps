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codeName="ThisWorkbook" defaultThemeVersion="124226"/>
  <xr:revisionPtr revIDLastSave="0" documentId="13_ncr:1_{5E8B6500-5258-4CD4-982A-ECCD2CDF21BF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Combine" sheetId="28" r:id="rId1"/>
    <sheet name="Costing Sheet" sheetId="12" r:id="rId2"/>
    <sheet name="Paint Spray Booth - Dry" sheetId="2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2" l="1"/>
  <c r="I28" i="12" s="1"/>
  <c r="C21" i="21"/>
  <c r="F5" i="21"/>
  <c r="G31" i="12"/>
  <c r="I31" i="12" s="1"/>
  <c r="G30" i="12"/>
  <c r="I30" i="12" s="1"/>
  <c r="G29" i="12"/>
  <c r="I29" i="12" s="1"/>
  <c r="G27" i="12"/>
  <c r="I27" i="12" s="1"/>
  <c r="G26" i="12"/>
  <c r="I26" i="12" s="1"/>
  <c r="D41" i="12"/>
  <c r="D23" i="12"/>
  <c r="F13" i="12"/>
  <c r="F12" i="12"/>
  <c r="F10" i="12"/>
  <c r="F9" i="12"/>
  <c r="D14" i="12"/>
  <c r="L5" i="21"/>
  <c r="K5" i="21"/>
  <c r="C23" i="21"/>
  <c r="G25" i="12" l="1"/>
  <c r="I25" i="12" s="1"/>
  <c r="G21" i="12"/>
  <c r="I21" i="12" s="1"/>
  <c r="E21" i="21"/>
  <c r="L7" i="21"/>
  <c r="L9" i="21" s="1"/>
  <c r="L11" i="21" s="1"/>
  <c r="G34" i="12" l="1"/>
  <c r="I34" i="12" s="1"/>
  <c r="G24" i="12" l="1"/>
  <c r="I24" i="12" s="1"/>
  <c r="G20" i="12" l="1"/>
  <c r="I20" i="12" s="1"/>
  <c r="C10" i="21"/>
  <c r="D42" i="12" l="1"/>
  <c r="G35" i="12"/>
  <c r="I35" i="12" s="1"/>
  <c r="G19" i="12"/>
  <c r="I19" i="12" s="1"/>
  <c r="G36" i="12" l="1"/>
  <c r="I36" i="12" s="1"/>
  <c r="G42" i="12"/>
  <c r="I42" i="12" s="1"/>
  <c r="G22" i="12" l="1"/>
  <c r="I22" i="12" s="1"/>
  <c r="G5" i="21"/>
  <c r="E5" i="21"/>
  <c r="G33" i="12"/>
  <c r="I33" i="12" s="1"/>
  <c r="E19" i="21" l="1"/>
  <c r="D9" i="12" s="1"/>
  <c r="H9" i="12" s="1"/>
  <c r="E23" i="21"/>
  <c r="C8" i="21"/>
  <c r="C9" i="21" s="1"/>
  <c r="C12" i="21"/>
  <c r="G23" i="21" l="1"/>
  <c r="D12" i="12" s="1"/>
  <c r="H12" i="12" s="1"/>
  <c r="E25" i="21" l="1"/>
  <c r="C29" i="21" s="1"/>
  <c r="G25" i="21" l="1"/>
  <c r="D13" i="12" s="1"/>
  <c r="H13" i="12" s="1"/>
  <c r="E17" i="21"/>
  <c r="D10" i="12" s="1"/>
  <c r="H10" i="12" s="1"/>
  <c r="G41" i="12"/>
  <c r="I41" i="12" s="1"/>
  <c r="G32" i="12"/>
  <c r="I32" i="12" s="1"/>
  <c r="G13" i="12" l="1"/>
  <c r="G10" i="12"/>
  <c r="I13" i="12" l="1"/>
  <c r="G12" i="12"/>
  <c r="I12" i="12" s="1"/>
  <c r="G21" i="21"/>
  <c r="D11" i="12" s="1"/>
  <c r="H11" i="12" s="1"/>
  <c r="I10" i="12"/>
  <c r="I43" i="12"/>
  <c r="E3" i="28" s="1"/>
  <c r="F3" i="28" s="1"/>
  <c r="G23" i="12"/>
  <c r="I23" i="12" s="1"/>
  <c r="C11" i="21"/>
  <c r="C15" i="21" s="1"/>
  <c r="C28" i="21" s="1"/>
  <c r="G16" i="12"/>
  <c r="I16" i="12" s="1"/>
  <c r="E15" i="21" l="1"/>
  <c r="G11" i="12"/>
  <c r="G9" i="12"/>
  <c r="G14" i="12"/>
  <c r="G17" i="12"/>
  <c r="I17" i="12" s="1"/>
  <c r="I11" i="12" l="1"/>
  <c r="C30" i="21"/>
  <c r="D37" i="12" s="1"/>
  <c r="G37" i="12" s="1"/>
  <c r="I37" i="12" s="1"/>
  <c r="D8" i="12"/>
  <c r="H8" i="12" s="1"/>
  <c r="G15" i="21"/>
  <c r="G18" i="12"/>
  <c r="I14" i="12"/>
  <c r="I9" i="12"/>
  <c r="I18" i="12" l="1"/>
  <c r="G8" i="12" l="1"/>
  <c r="I8" i="12" s="1"/>
  <c r="I38" i="12" l="1"/>
  <c r="E2" i="28" s="1"/>
  <c r="F2" i="28" l="1"/>
  <c r="E8" i="28"/>
  <c r="H2" i="28" l="1"/>
  <c r="F8" i="28"/>
  <c r="H12" i="28" l="1"/>
  <c r="G8" i="28"/>
  <c r="H10" i="28" s="1"/>
</calcChain>
</file>

<file path=xl/sharedStrings.xml><?xml version="1.0" encoding="utf-8"?>
<sst xmlns="http://schemas.openxmlformats.org/spreadsheetml/2006/main" count="176" uniqueCount="122">
  <si>
    <t>S.NO</t>
  </si>
  <si>
    <t xml:space="preserve">DESCRIPTION </t>
  </si>
  <si>
    <t>RATING/SIZE</t>
  </si>
  <si>
    <t>MS Channel</t>
  </si>
  <si>
    <t xml:space="preserve">QTY </t>
  </si>
  <si>
    <t>VITECH ENVIRO SYTEMS PVT LTD</t>
  </si>
  <si>
    <t>Size</t>
  </si>
  <si>
    <t>L</t>
  </si>
  <si>
    <t>W</t>
  </si>
  <si>
    <t>H</t>
  </si>
  <si>
    <t>Silicone Sealant</t>
  </si>
  <si>
    <t>LED Light</t>
  </si>
  <si>
    <t xml:space="preserve">Painting </t>
  </si>
  <si>
    <t>Top</t>
  </si>
  <si>
    <t>Left</t>
  </si>
  <si>
    <t>MS 18 SWG Sheet</t>
  </si>
  <si>
    <t>Paint Spray Booth - Dry Type</t>
  </si>
  <si>
    <t>Booth</t>
  </si>
  <si>
    <t xml:space="preserve">Blower </t>
  </si>
  <si>
    <t>2500 x 1250 x 2 thk</t>
  </si>
  <si>
    <t>Bought Out Items</t>
  </si>
  <si>
    <t>101 - 300 ml</t>
  </si>
  <si>
    <t>MS 14 SWG Sheet</t>
  </si>
  <si>
    <t>Stucture Materials</t>
  </si>
  <si>
    <t>UNIT</t>
  </si>
  <si>
    <t>Nos</t>
  </si>
  <si>
    <t>TOTAL PRICE</t>
  </si>
  <si>
    <t>MS Sq. Tube</t>
  </si>
  <si>
    <t>UNIT
COST</t>
  </si>
  <si>
    <t>Kgs</t>
  </si>
  <si>
    <t>Sq. ft</t>
  </si>
  <si>
    <t>nos</t>
  </si>
  <si>
    <t>mtrs</t>
  </si>
  <si>
    <t>Sq. m</t>
  </si>
  <si>
    <t>Sq.mtr</t>
  </si>
  <si>
    <t>kgs</t>
  </si>
  <si>
    <t>Materials</t>
  </si>
  <si>
    <t>MS Flat</t>
  </si>
  <si>
    <t>Rubber Gasket</t>
  </si>
  <si>
    <t>GI Bolt, Nut &amp; 2 Washer</t>
  </si>
  <si>
    <t>M8 x 25 L</t>
  </si>
  <si>
    <t>2500 x 1250 x 6 thk</t>
  </si>
  <si>
    <t>1250 x 2500 x 6 thk MS Plate
Blower Mounting</t>
  </si>
  <si>
    <t>MS Plate</t>
  </si>
  <si>
    <t>MS Flat 40 x 6 x 6000</t>
  </si>
  <si>
    <t>GI Duct</t>
  </si>
  <si>
    <t>Sq.mtrs</t>
  </si>
  <si>
    <t>RM COST</t>
  </si>
  <si>
    <t>CMH</t>
  </si>
  <si>
    <t>2500 x 900 x 1.2 thk</t>
  </si>
  <si>
    <t>40 x 6 thk x 6000</t>
  </si>
  <si>
    <t>m2</t>
  </si>
  <si>
    <t>Outer</t>
  </si>
  <si>
    <t>Working</t>
  </si>
  <si>
    <t>GI Exhaust Duct Total Cost</t>
  </si>
  <si>
    <t>Paint Spray Booth Total Cost</t>
  </si>
  <si>
    <t>LABOUR
COST</t>
  </si>
  <si>
    <t>Blower</t>
  </si>
  <si>
    <t>75 x 40 x 6 thk x 6000</t>
  </si>
  <si>
    <t>MS Support</t>
  </si>
  <si>
    <t>MS Channel - 75 x 40 x 6 x 6000</t>
  </si>
  <si>
    <t>MS Sq. Tube - 40 x 40 3 x 6000</t>
  </si>
  <si>
    <t>Service Door</t>
  </si>
  <si>
    <t>CUSTOMER NAME :  M/s</t>
  </si>
  <si>
    <t>900 x 2500 x 1.2 thk MS Sheet</t>
  </si>
  <si>
    <t>Back</t>
  </si>
  <si>
    <t>Filed wiring</t>
  </si>
  <si>
    <t xml:space="preserve">Electrical Control panel </t>
  </si>
  <si>
    <t>lot</t>
  </si>
  <si>
    <t>Transport</t>
  </si>
  <si>
    <t>Painting</t>
  </si>
  <si>
    <t>Sq.ft</t>
  </si>
  <si>
    <t>M8 x 20L</t>
  </si>
  <si>
    <t>M8 x 60 L</t>
  </si>
  <si>
    <t>40 x 40 x 2 thk x 6000</t>
  </si>
  <si>
    <t>Motor - CG</t>
  </si>
  <si>
    <t>m/sec</t>
  </si>
  <si>
    <t>CLP-4" WC-10 HP-9000Cfm-Direct Drive</t>
  </si>
  <si>
    <t xml:space="preserve">GI Exhaust Duct </t>
  </si>
  <si>
    <t>cfm</t>
  </si>
  <si>
    <t>M10 x 50 L</t>
  </si>
  <si>
    <t>Paint arrest paper filter</t>
  </si>
  <si>
    <t>Air inlet filters (Box)</t>
  </si>
  <si>
    <t>610 x 610 x 30</t>
  </si>
  <si>
    <t>View Glass</t>
  </si>
  <si>
    <t>MS Wire mesh</t>
  </si>
  <si>
    <t>Dia 3 x 25 Sq.</t>
  </si>
  <si>
    <t>Black Handle</t>
  </si>
  <si>
    <t>Date : 24.07.2026</t>
  </si>
  <si>
    <t>front</t>
  </si>
  <si>
    <t>Right</t>
  </si>
  <si>
    <t>Filter frame top &amp; Bottom</t>
  </si>
  <si>
    <t>1250 x 2500 x 2 thk 14 swg MS Sheet
Filter frame</t>
  </si>
  <si>
    <t>CLP -4-10-9000</t>
  </si>
  <si>
    <t>NFLP - 90 W ~ 800 lux</t>
  </si>
  <si>
    <t>10HP, 1440 rpm - NFLP - Flange, IE2</t>
  </si>
  <si>
    <t>2000 x 2350 - Double leaf</t>
  </si>
  <si>
    <t>10 HP Blower - 1nos ON/OFF &amp; LED Light 4 nos with star delta</t>
  </si>
  <si>
    <t>600 x 600 x 10 Mtrs</t>
  </si>
  <si>
    <t>Top roller</t>
  </si>
  <si>
    <t>Top track</t>
  </si>
  <si>
    <t>Bottom wheel</t>
  </si>
  <si>
    <t>STD - 3m L</t>
  </si>
  <si>
    <t>Door Handle</t>
  </si>
  <si>
    <t>set</t>
  </si>
  <si>
    <t>120 - P</t>
  </si>
  <si>
    <t>Manual Sliding Door accessories</t>
  </si>
  <si>
    <t>Paint Booth + Exhaust blower +  Electrical control panel</t>
  </si>
  <si>
    <t>Exhaust Duct</t>
  </si>
  <si>
    <t>Dsign &amp; Contingency</t>
  </si>
  <si>
    <t>E &amp; C</t>
  </si>
  <si>
    <t>Unit</t>
  </si>
  <si>
    <t>Customer scope</t>
  </si>
  <si>
    <t>Packing &amp; Forwarding - Internal</t>
  </si>
  <si>
    <t>Profit</t>
  </si>
  <si>
    <t>Discount</t>
  </si>
  <si>
    <t>Difference</t>
  </si>
  <si>
    <t>Final Price</t>
  </si>
  <si>
    <t>Non Pressurised  - Enclosed Dry type Paint Booth Size - 3.0 W  x 2.4.0 W x 2.4 H - Side Draft - (10' L x 8'W x 7'H)</t>
  </si>
  <si>
    <t>450 x 450 x 5 with rubber beading</t>
  </si>
  <si>
    <t>Bottom track</t>
  </si>
  <si>
    <t>Dia 20 MS Rod &amp; 75 x 6 MS Flat - 6 m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</si>
</sst>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0"/>
    <numFmt numFmtId="165" formatCode="0.000"/>
    <numFmt numFmtId="166" formatCode="_ * #,##0_ ;_ * \-#,##0_ ;_ * &quot;-&quot;??_ ;_ @_ "/>
  </numFmts>
  <fonts count="18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0"/>
      <name val="Century Gothic"/>
      <family val="2"/>
    </font>
    <font>
      <b/>
      <sz val="11"/>
      <color theme="0"/>
      <name val="Century Gothic"/>
      <family val="2"/>
    </font>
    <font>
      <sz val="10"/>
      <color rgb="FFFF0000"/>
      <name val="Century Gothic"/>
      <family val="2"/>
    </font>
    <font>
      <sz val="11"/>
      <color rgb="FFFF0000"/>
      <name val="Century Gothic"/>
      <family val="2"/>
    </font>
    <font>
      <b/>
      <sz val="11"/>
      <color rgb="FFFF0000"/>
      <name val="Century Gothic"/>
      <family val="2"/>
    </font>
    <font>
      <b/>
      <sz val="11"/>
      <color theme="10"/>
      <name val="Calibri"/>
      <family val="2"/>
      <scheme val="minor"/>
    </font>
    <font>
      <b/>
      <sz val="12"/>
      <color theme="1"/>
      <name val="Century Gothic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1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1" fontId="1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3" fillId="0" borderId="0" xfId="0" applyNumberFormat="1" applyFont="1" applyAlignment="1">
      <alignment horizontal="center" vertical="center"/>
    </xf>
    <xf numFmtId="43" fontId="3" fillId="0" borderId="0" xfId="1" applyFont="1" applyAlignment="1">
      <alignment vertical="center"/>
    </xf>
    <xf numFmtId="166" fontId="3" fillId="0" borderId="0" xfId="1" applyNumberFormat="1" applyFont="1" applyAlignment="1">
      <alignment vertical="center"/>
    </xf>
    <xf numFmtId="43" fontId="2" fillId="0" borderId="1" xfId="1" applyFont="1" applyBorder="1" applyAlignment="1">
      <alignment horizontal="center" vertical="center" wrapText="1"/>
    </xf>
    <xf numFmtId="43" fontId="1" fillId="0" borderId="1" xfId="1" applyFont="1" applyBorder="1" applyAlignment="1">
      <alignment horizontal="right" vertical="center"/>
    </xf>
    <xf numFmtId="43" fontId="1" fillId="0" borderId="0" xfId="1" applyFont="1" applyAlignment="1">
      <alignment horizontal="right" vertical="center"/>
    </xf>
    <xf numFmtId="43" fontId="2" fillId="0" borderId="1" xfId="1" applyFont="1" applyBorder="1" applyAlignment="1">
      <alignment horizontal="right" vertical="center"/>
    </xf>
    <xf numFmtId="43" fontId="2" fillId="0" borderId="2" xfId="1" applyFont="1" applyBorder="1" applyAlignment="1">
      <alignment horizontal="right" vertical="center"/>
    </xf>
    <xf numFmtId="43" fontId="1" fillId="0" borderId="2" xfId="1" applyFont="1" applyBorder="1" applyAlignment="1">
      <alignment horizontal="right" vertical="center"/>
    </xf>
    <xf numFmtId="9" fontId="4" fillId="0" borderId="0" xfId="0" applyNumberFormat="1" applyFont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2" xfId="0" applyFont="1" applyBorder="1" applyAlignment="1">
      <alignment vertical="center"/>
    </xf>
    <xf numFmtId="3" fontId="1" fillId="0" borderId="0" xfId="0" applyNumberFormat="1" applyFont="1" applyAlignment="1">
      <alignment vertical="center"/>
    </xf>
    <xf numFmtId="166" fontId="2" fillId="0" borderId="1" xfId="1" applyNumberFormat="1" applyFont="1" applyBorder="1" applyAlignment="1">
      <alignment vertical="center"/>
    </xf>
    <xf numFmtId="166" fontId="2" fillId="0" borderId="1" xfId="1" applyNumberFormat="1" applyFont="1" applyBorder="1" applyAlignment="1">
      <alignment horizontal="center" vertical="center" wrapText="1"/>
    </xf>
    <xf numFmtId="166" fontId="2" fillId="0" borderId="2" xfId="0" applyNumberFormat="1" applyFont="1" applyBorder="1" applyAlignment="1">
      <alignment vertical="center"/>
    </xf>
    <xf numFmtId="166" fontId="1" fillId="0" borderId="1" xfId="1" applyNumberFormat="1" applyFont="1" applyBorder="1" applyAlignment="1">
      <alignment horizontal="center" vertical="center"/>
    </xf>
    <xf numFmtId="166" fontId="2" fillId="0" borderId="2" xfId="1" applyNumberFormat="1" applyFont="1" applyBorder="1" applyAlignment="1">
      <alignment horizontal="center" vertical="center"/>
    </xf>
    <xf numFmtId="166" fontId="1" fillId="0" borderId="1" xfId="1" applyNumberFormat="1" applyFont="1" applyBorder="1" applyAlignment="1">
      <alignment horizontal="right" vertical="center"/>
    </xf>
    <xf numFmtId="166" fontId="1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164" fontId="11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66" fontId="1" fillId="0" borderId="0" xfId="1" applyNumberFormat="1" applyFont="1" applyBorder="1" applyAlignment="1">
      <alignment vertical="center"/>
    </xf>
    <xf numFmtId="43" fontId="1" fillId="0" borderId="0" xfId="1" applyFont="1" applyBorder="1" applyAlignment="1">
      <alignment horizontal="right" vertical="center"/>
    </xf>
    <xf numFmtId="43" fontId="1" fillId="0" borderId="0" xfId="0" applyNumberFormat="1" applyFont="1" applyAlignment="1">
      <alignment vertical="center"/>
    </xf>
    <xf numFmtId="0" fontId="12" fillId="5" borderId="4" xfId="2" applyFont="1" applyFill="1" applyBorder="1" applyAlignment="1">
      <alignment vertical="center" wrapText="1"/>
    </xf>
    <xf numFmtId="49" fontId="1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3" fontId="1" fillId="0" borderId="1" xfId="3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 wrapText="1"/>
    </xf>
    <xf numFmtId="43" fontId="2" fillId="0" borderId="7" xfId="1" applyFont="1" applyBorder="1" applyAlignment="1">
      <alignment horizontal="right" vertical="center"/>
    </xf>
    <xf numFmtId="43" fontId="2" fillId="0" borderId="7" xfId="1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43" fontId="1" fillId="0" borderId="7" xfId="1" applyFont="1" applyBorder="1" applyAlignment="1">
      <alignment horizontal="right" vertical="center"/>
    </xf>
    <xf numFmtId="43" fontId="2" fillId="0" borderId="9" xfId="1" applyFont="1" applyBorder="1" applyAlignment="1">
      <alignment horizontal="right" vertical="center"/>
    </xf>
    <xf numFmtId="43" fontId="13" fillId="4" borderId="7" xfId="1" applyFont="1" applyFill="1" applyBorder="1" applyAlignment="1">
      <alignment horizontal="right" vertical="center"/>
    </xf>
    <xf numFmtId="0" fontId="1" fillId="0" borderId="14" xfId="0" applyFont="1" applyBorder="1" applyAlignment="1">
      <alignment vertical="center"/>
    </xf>
    <xf numFmtId="43" fontId="1" fillId="0" borderId="15" xfId="1" applyFont="1" applyBorder="1" applyAlignment="1">
      <alignment horizontal="right" vertical="center"/>
    </xf>
    <xf numFmtId="43" fontId="3" fillId="4" borderId="7" xfId="1" applyFont="1" applyFill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166" fontId="4" fillId="0" borderId="0" xfId="1" applyNumberFormat="1" applyFont="1" applyAlignment="1">
      <alignment vertical="center"/>
    </xf>
    <xf numFmtId="0" fontId="1" fillId="6" borderId="4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/>
    </xf>
    <xf numFmtId="0" fontId="15" fillId="5" borderId="4" xfId="2" applyFont="1" applyFill="1" applyBorder="1" applyAlignment="1">
      <alignment vertical="center" wrapText="1"/>
    </xf>
    <xf numFmtId="43" fontId="1" fillId="0" borderId="7" xfId="3" applyFont="1" applyBorder="1" applyAlignment="1">
      <alignment horizontal="center" vertical="center"/>
    </xf>
    <xf numFmtId="1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horizontal="right" vertical="center"/>
    </xf>
    <xf numFmtId="1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left" vertical="center"/>
    </xf>
    <xf numFmtId="43" fontId="0" fillId="0" borderId="0" xfId="0" applyNumberFormat="1" applyAlignment="1">
      <alignment horizontal="left" vertical="center"/>
    </xf>
    <xf numFmtId="43" fontId="0" fillId="0" borderId="0" xfId="1" applyFont="1" applyAlignment="1">
      <alignment horizontal="left" vertical="center"/>
    </xf>
    <xf numFmtId="43" fontId="0" fillId="0" borderId="0" xfId="1" applyFont="1" applyAlignment="1">
      <alignment horizontal="center" vertical="center"/>
    </xf>
    <xf numFmtId="43" fontId="14" fillId="0" borderId="0" xfId="0" applyNumberFormat="1" applyFon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9" fontId="0" fillId="0" borderId="0" xfId="0" applyNumberFormat="1" applyAlignment="1">
      <alignment horizontal="center" vertical="center"/>
    </xf>
    <xf numFmtId="43" fontId="16" fillId="0" borderId="0" xfId="0" applyNumberFormat="1" applyFont="1" applyAlignment="1">
      <alignment horizontal="left" vertical="center"/>
    </xf>
    <xf numFmtId="9" fontId="16" fillId="0" borderId="0" xfId="0" applyNumberFormat="1" applyFont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166" fontId="17" fillId="0" borderId="0" xfId="0" applyNumberFormat="1" applyFont="1" applyAlignment="1">
      <alignment horizontal="left" vertical="center"/>
    </xf>
    <xf numFmtId="166" fontId="14" fillId="0" borderId="0" xfId="0" applyNumberFormat="1" applyFont="1" applyAlignment="1">
      <alignment horizontal="left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8" fillId="2" borderId="8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2" applyFont="1" applyFill="1" applyBorder="1" applyAlignment="1" applyProtection="1">
      <alignment horizontal="center" vertical="center"/>
    </xf>
    <xf numFmtId="0" fontId="6" fillId="2" borderId="2" xfId="2" applyFill="1" applyBorder="1" applyAlignment="1" applyProtection="1">
      <alignment horizontal="center" vertical="center"/>
    </xf>
    <xf numFmtId="0" fontId="6" fillId="2" borderId="9" xfId="2" applyFill="1" applyBorder="1" applyAlignment="1" applyProtection="1">
      <alignment horizontal="center" vertical="center"/>
    </xf>
    <xf numFmtId="0" fontId="2" fillId="4" borderId="8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horizontal="right" vertical="center" wrapText="1"/>
    </xf>
  </cellXfs>
  <cellStyles count="8">
    <cellStyle name="Comma" xfId="1" builtinId="3"/>
    <cellStyle name="Comma 2" xfId="3" xr:uid="{59601FF3-87F8-4508-AA06-5153B61590AA}"/>
    <cellStyle name="Comma 2 2" xfId="6" xr:uid="{8772EE63-3D56-4884-B299-B6DD436D49ED}"/>
    <cellStyle name="Comma 3" xfId="4" xr:uid="{45EA7011-D3E0-4425-A2B9-14EDA5365A0B}"/>
    <cellStyle name="Currency 2" xfId="7" xr:uid="{EA59EEBC-5014-4C2F-8FA2-3FDE413BA13C}"/>
    <cellStyle name="Currency 3" xfId="5" xr:uid="{0DABE3FA-E958-4255-92EF-AF83CD739304}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\..\..\..\DESIGN%20TEAM\&#8377;%20PRICE%20LIST\Motor&amp;Pump&amp;Blower.xlsx" TargetMode="External"/><Relationship Id="rId1" Type="http://schemas.openxmlformats.org/officeDocument/2006/relationships/hyperlink" Target="..\..\..\..\DESIGN%20TEAM\Blower%20selection\Blower%20selection%20chart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2D1A-6793-4F2C-9192-D5F93E5F4BA5}">
  <dimension ref="B2:J14"/>
  <sheetViews>
    <sheetView workbookViewId="0">
      <selection activeCell="G21" sqref="G21"/>
    </sheetView>
  </sheetViews>
  <sheetFormatPr defaultRowHeight="14.5" x14ac:dyDescent="0.35"/>
  <cols>
    <col min="1" max="1" width="8.7265625" style="84"/>
    <col min="2" max="2" width="47.7265625" style="84" customWidth="1"/>
    <col min="3" max="3" width="13.453125" style="84" customWidth="1"/>
    <col min="4" max="4" width="8.7265625" style="84"/>
    <col min="5" max="5" width="25.36328125" style="84" customWidth="1"/>
    <col min="6" max="6" width="16.6328125" style="84" customWidth="1"/>
    <col min="7" max="7" width="15.54296875" style="84" customWidth="1"/>
    <col min="8" max="8" width="17.81640625" style="84" bestFit="1" customWidth="1"/>
    <col min="9" max="9" width="16.54296875" style="84" customWidth="1"/>
    <col min="10" max="10" width="11.1796875" style="84" bestFit="1" customWidth="1"/>
    <col min="11" max="16384" width="8.7265625" style="84"/>
  </cols>
  <sheetData>
    <row r="2" spans="2:10" x14ac:dyDescent="0.35">
      <c r="B2" s="84" t="s">
        <v>107</v>
      </c>
      <c r="C2" s="60">
        <v>1</v>
      </c>
      <c r="D2" s="84" t="s">
        <v>111</v>
      </c>
      <c r="E2" s="85">
        <f>'Costing Sheet'!I38</f>
        <v>649264</v>
      </c>
      <c r="F2" s="85">
        <f>E2*1.4</f>
        <v>908969.6</v>
      </c>
      <c r="G2" s="89">
        <v>0.4</v>
      </c>
      <c r="H2" s="85">
        <f>F2*0.1</f>
        <v>90896.960000000006</v>
      </c>
      <c r="I2" s="84" t="s">
        <v>115</v>
      </c>
      <c r="J2" s="90">
        <v>0.05</v>
      </c>
    </row>
    <row r="3" spans="2:10" x14ac:dyDescent="0.35">
      <c r="B3" s="84" t="s">
        <v>108</v>
      </c>
      <c r="C3" s="60">
        <v>1</v>
      </c>
      <c r="D3" s="84" t="s">
        <v>111</v>
      </c>
      <c r="E3" s="85">
        <f>'Costing Sheet'!I43</f>
        <v>105000</v>
      </c>
      <c r="F3" s="85">
        <f>E3*1.26</f>
        <v>132300</v>
      </c>
      <c r="G3" s="89">
        <v>0.25</v>
      </c>
    </row>
    <row r="4" spans="2:10" x14ac:dyDescent="0.35">
      <c r="B4" s="84" t="s">
        <v>109</v>
      </c>
      <c r="C4" s="60">
        <v>1</v>
      </c>
      <c r="D4" s="84" t="s">
        <v>111</v>
      </c>
      <c r="E4" s="86"/>
      <c r="F4" s="85">
        <v>25000</v>
      </c>
      <c r="G4" s="89">
        <v>0</v>
      </c>
    </row>
    <row r="5" spans="2:10" x14ac:dyDescent="0.35">
      <c r="B5" s="84" t="s">
        <v>113</v>
      </c>
      <c r="C5" s="60">
        <v>1</v>
      </c>
      <c r="D5" s="84" t="s">
        <v>111</v>
      </c>
      <c r="E5" s="86"/>
      <c r="F5" s="85">
        <v>11000</v>
      </c>
      <c r="G5" s="89">
        <v>0</v>
      </c>
    </row>
    <row r="6" spans="2:10" x14ac:dyDescent="0.35">
      <c r="B6" s="84" t="s">
        <v>110</v>
      </c>
      <c r="C6" s="60">
        <v>1</v>
      </c>
      <c r="D6" s="84" t="s">
        <v>111</v>
      </c>
      <c r="E6" s="86"/>
      <c r="F6" s="85">
        <v>65000</v>
      </c>
      <c r="G6" s="89">
        <v>0</v>
      </c>
    </row>
    <row r="7" spans="2:10" x14ac:dyDescent="0.35">
      <c r="B7" s="84" t="s">
        <v>69</v>
      </c>
      <c r="C7" s="60">
        <v>1</v>
      </c>
      <c r="D7" s="84" t="s">
        <v>111</v>
      </c>
      <c r="E7" s="87" t="s">
        <v>112</v>
      </c>
    </row>
    <row r="8" spans="2:10" x14ac:dyDescent="0.35">
      <c r="E8" s="88">
        <f>E2+E3</f>
        <v>754264</v>
      </c>
      <c r="F8" s="95">
        <f>SUM(F2:F7)</f>
        <v>1142269.6000000001</v>
      </c>
      <c r="G8" s="93">
        <f>F8-E8</f>
        <v>388005.60000000009</v>
      </c>
      <c r="H8" s="84" t="s">
        <v>116</v>
      </c>
    </row>
    <row r="10" spans="2:10" ht="18.5" x14ac:dyDescent="0.35">
      <c r="H10" s="91">
        <f>G8-H2</f>
        <v>297108.64000000007</v>
      </c>
      <c r="I10" s="84" t="s">
        <v>114</v>
      </c>
      <c r="J10" s="92">
        <v>0.27</v>
      </c>
    </row>
    <row r="12" spans="2:10" ht="21" x14ac:dyDescent="0.35">
      <c r="F12" s="84" t="s">
        <v>117</v>
      </c>
      <c r="H12" s="94">
        <f>F8-H2</f>
        <v>1051372.6400000001</v>
      </c>
    </row>
    <row r="14" spans="2:10" x14ac:dyDescent="0.35">
      <c r="H14" s="8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43"/>
  <sheetViews>
    <sheetView tabSelected="1" zoomScale="85" zoomScaleNormal="85" workbookViewId="0">
      <pane ySplit="5" topLeftCell="A15" activePane="bottomLeft" state="frozen"/>
      <selection pane="bottomLeft" activeCell="L35" sqref="L35"/>
    </sheetView>
  </sheetViews>
  <sheetFormatPr defaultColWidth="9" defaultRowHeight="18" customHeight="1" x14ac:dyDescent="0.35"/>
  <cols>
    <col min="1" max="1" width="5.1796875" style="5" bestFit="1" customWidth="1"/>
    <col min="2" max="2" width="39.1796875" style="5" customWidth="1"/>
    <col min="3" max="3" width="45.81640625" style="5" customWidth="1"/>
    <col min="4" max="4" width="16" style="5" customWidth="1"/>
    <col min="5" max="5" width="11.7265625" style="36" customWidth="1"/>
    <col min="6" max="6" width="12.81640625" style="45" customWidth="1"/>
    <col min="7" max="7" width="19.453125" style="30" customWidth="1"/>
    <col min="8" max="8" width="19.7265625" style="30" customWidth="1"/>
    <col min="9" max="9" width="20.26953125" style="30" customWidth="1"/>
    <col min="10" max="10" width="33.54296875" style="5" customWidth="1"/>
    <col min="11" max="11" width="17" style="5" customWidth="1"/>
    <col min="12" max="12" width="13.54296875" style="5" customWidth="1"/>
    <col min="13" max="13" width="18.453125" style="5" bestFit="1" customWidth="1"/>
    <col min="14" max="16384" width="9" style="5"/>
  </cols>
  <sheetData>
    <row r="1" spans="1:14" ht="16.5" customHeight="1" x14ac:dyDescent="0.35">
      <c r="A1" s="96" t="s">
        <v>5</v>
      </c>
      <c r="B1" s="97"/>
      <c r="C1" s="97"/>
      <c r="D1" s="97"/>
      <c r="E1" s="97"/>
      <c r="F1" s="97"/>
      <c r="G1" s="97"/>
      <c r="H1" s="97"/>
      <c r="I1" s="98"/>
    </row>
    <row r="2" spans="1:14" ht="16.5" customHeight="1" x14ac:dyDescent="0.35">
      <c r="A2" s="99"/>
      <c r="B2" s="100"/>
      <c r="C2" s="100"/>
      <c r="D2" s="100"/>
      <c r="E2" s="100"/>
      <c r="F2" s="100"/>
      <c r="G2" s="100"/>
      <c r="H2" s="100"/>
      <c r="I2" s="101"/>
    </row>
    <row r="3" spans="1:14" ht="16.5" customHeight="1" x14ac:dyDescent="0.35">
      <c r="A3" s="102"/>
      <c r="B3" s="103"/>
      <c r="C3" s="103"/>
      <c r="D3" s="103"/>
      <c r="E3" s="103"/>
      <c r="F3" s="103"/>
      <c r="G3" s="103"/>
      <c r="H3" s="103"/>
      <c r="I3" s="104"/>
    </row>
    <row r="4" spans="1:14" ht="21.75" customHeight="1" x14ac:dyDescent="0.35">
      <c r="A4" s="105" t="s">
        <v>63</v>
      </c>
      <c r="B4" s="106"/>
      <c r="C4" s="106"/>
      <c r="D4" s="4"/>
      <c r="E4" s="21"/>
      <c r="F4" s="39"/>
      <c r="G4" s="31"/>
      <c r="H4" s="29"/>
      <c r="I4" s="64" t="s">
        <v>88</v>
      </c>
    </row>
    <row r="5" spans="1:14" ht="25" x14ac:dyDescent="0.35">
      <c r="A5" s="61" t="s">
        <v>0</v>
      </c>
      <c r="B5" s="6" t="s">
        <v>1</v>
      </c>
      <c r="C5" s="6" t="s">
        <v>2</v>
      </c>
      <c r="D5" s="16" t="s">
        <v>4</v>
      </c>
      <c r="E5" s="16" t="s">
        <v>24</v>
      </c>
      <c r="F5" s="40" t="s">
        <v>28</v>
      </c>
      <c r="G5" s="28" t="s">
        <v>47</v>
      </c>
      <c r="H5" s="28" t="s">
        <v>56</v>
      </c>
      <c r="I5" s="65" t="s">
        <v>26</v>
      </c>
    </row>
    <row r="6" spans="1:14" ht="24.75" customHeight="1" x14ac:dyDescent="0.35">
      <c r="A6" s="110" t="s">
        <v>118</v>
      </c>
      <c r="B6" s="111"/>
      <c r="C6" s="111"/>
      <c r="D6" s="111"/>
      <c r="E6" s="111"/>
      <c r="F6" s="111"/>
      <c r="G6" s="111"/>
      <c r="H6" s="111"/>
      <c r="I6" s="112"/>
    </row>
    <row r="7" spans="1:14" ht="15" customHeight="1" x14ac:dyDescent="0.35">
      <c r="A7" s="66"/>
      <c r="B7" s="4" t="s">
        <v>36</v>
      </c>
      <c r="C7" s="37"/>
      <c r="D7" s="37"/>
      <c r="E7" s="37"/>
      <c r="F7" s="41"/>
      <c r="G7" s="37"/>
      <c r="H7" s="37"/>
      <c r="I7" s="67"/>
    </row>
    <row r="8" spans="1:14" ht="15" customHeight="1" x14ac:dyDescent="0.35">
      <c r="A8" s="68">
        <v>1</v>
      </c>
      <c r="B8" s="3" t="s">
        <v>15</v>
      </c>
      <c r="C8" s="1" t="s">
        <v>49</v>
      </c>
      <c r="D8" s="18">
        <f>'Paint Spray Booth - Dry'!E15</f>
        <v>621</v>
      </c>
      <c r="E8" s="1" t="s">
        <v>29</v>
      </c>
      <c r="F8" s="42">
        <v>85</v>
      </c>
      <c r="G8" s="29">
        <f>ROUNDUP(D8*F8,0)</f>
        <v>52785</v>
      </c>
      <c r="H8" s="29">
        <f>ROUNDUP(D8*45,0)</f>
        <v>27945</v>
      </c>
      <c r="I8" s="69">
        <f>ROUNDUP(G8+H8,0)</f>
        <v>80730</v>
      </c>
      <c r="J8" s="9"/>
      <c r="K8" s="9"/>
      <c r="L8" s="9"/>
    </row>
    <row r="9" spans="1:14" ht="15" customHeight="1" x14ac:dyDescent="0.35">
      <c r="A9" s="68">
        <v>2</v>
      </c>
      <c r="B9" s="3" t="s">
        <v>22</v>
      </c>
      <c r="C9" s="1" t="s">
        <v>19</v>
      </c>
      <c r="D9" s="2">
        <f>'Paint Spray Booth - Dry'!E19</f>
        <v>100</v>
      </c>
      <c r="E9" s="1" t="s">
        <v>29</v>
      </c>
      <c r="F9" s="42">
        <f>F8</f>
        <v>85</v>
      </c>
      <c r="G9" s="29">
        <f>ROUNDUP(D9*F9,0)</f>
        <v>8500</v>
      </c>
      <c r="H9" s="29">
        <f>ROUNDUP(D9*45,0)</f>
        <v>4500</v>
      </c>
      <c r="I9" s="69">
        <f>ROUNDUP(G9+H9,0)</f>
        <v>13000</v>
      </c>
      <c r="J9" s="8"/>
      <c r="K9" s="10"/>
      <c r="L9" s="10"/>
      <c r="M9" s="54"/>
      <c r="N9" s="8"/>
    </row>
    <row r="10" spans="1:14" ht="15" customHeight="1" x14ac:dyDescent="0.35">
      <c r="A10" s="68">
        <v>3</v>
      </c>
      <c r="B10" s="3" t="s">
        <v>43</v>
      </c>
      <c r="C10" s="1" t="s">
        <v>41</v>
      </c>
      <c r="D10" s="2">
        <f>'Paint Spray Booth - Dry'!E17</f>
        <v>150</v>
      </c>
      <c r="E10" s="1" t="s">
        <v>29</v>
      </c>
      <c r="F10" s="42">
        <f>F8</f>
        <v>85</v>
      </c>
      <c r="G10" s="29">
        <f>ROUNDUP(D10*F10,0)</f>
        <v>12750</v>
      </c>
      <c r="H10" s="29">
        <f>ROUNDUP(D10*45,0)</f>
        <v>6750</v>
      </c>
      <c r="I10" s="69">
        <f>ROUNDUP(G10+H10,0)</f>
        <v>19500</v>
      </c>
      <c r="J10" s="8"/>
      <c r="K10" s="8"/>
      <c r="L10" s="7"/>
      <c r="N10" s="8"/>
    </row>
    <row r="11" spans="1:14" ht="15" customHeight="1" x14ac:dyDescent="0.35">
      <c r="A11" s="68">
        <v>4</v>
      </c>
      <c r="B11" s="3" t="s">
        <v>27</v>
      </c>
      <c r="C11" s="1" t="s">
        <v>74</v>
      </c>
      <c r="D11" s="2">
        <f>'Paint Spray Booth - Dry'!G21</f>
        <v>126</v>
      </c>
      <c r="E11" s="1" t="s">
        <v>29</v>
      </c>
      <c r="F11" s="42">
        <v>75</v>
      </c>
      <c r="G11" s="29">
        <f t="shared" ref="G11:G14" si="0">ROUNDUP(D11*F11,0)</f>
        <v>9450</v>
      </c>
      <c r="H11" s="29">
        <f>ROUNDUP(D11*50,0)</f>
        <v>6300</v>
      </c>
      <c r="I11" s="69">
        <f t="shared" ref="I11:I14" si="1">ROUNDUP(G11+H11,0)</f>
        <v>15750</v>
      </c>
      <c r="J11" s="9"/>
      <c r="K11" s="76"/>
      <c r="L11" s="47"/>
      <c r="M11" s="50"/>
    </row>
    <row r="12" spans="1:14" ht="15" customHeight="1" x14ac:dyDescent="0.35">
      <c r="A12" s="68">
        <v>5</v>
      </c>
      <c r="B12" s="3" t="s">
        <v>3</v>
      </c>
      <c r="C12" s="1" t="s">
        <v>58</v>
      </c>
      <c r="D12" s="2">
        <f>'Paint Spray Booth - Dry'!G23</f>
        <v>308</v>
      </c>
      <c r="E12" s="1" t="s">
        <v>29</v>
      </c>
      <c r="F12" s="42">
        <f>F11</f>
        <v>75</v>
      </c>
      <c r="G12" s="29">
        <f t="shared" si="0"/>
        <v>23100</v>
      </c>
      <c r="H12" s="29">
        <f>ROUNDUP(D12*50,0)</f>
        <v>15400</v>
      </c>
      <c r="I12" s="69">
        <f t="shared" si="1"/>
        <v>38500</v>
      </c>
      <c r="J12" s="9"/>
      <c r="K12" s="76"/>
      <c r="L12" s="7"/>
      <c r="M12" s="48"/>
    </row>
    <row r="13" spans="1:14" ht="13.5" x14ac:dyDescent="0.35">
      <c r="A13" s="68">
        <v>6</v>
      </c>
      <c r="B13" s="3" t="s">
        <v>37</v>
      </c>
      <c r="C13" s="1" t="s">
        <v>50</v>
      </c>
      <c r="D13" s="18">
        <f>'Paint Spray Booth - Dry'!G25</f>
        <v>12</v>
      </c>
      <c r="E13" s="1" t="s">
        <v>29</v>
      </c>
      <c r="F13" s="42">
        <f>F11</f>
        <v>75</v>
      </c>
      <c r="G13" s="29">
        <f t="shared" ref="G13" si="2">ROUNDUP(D13*F13,0)</f>
        <v>900</v>
      </c>
      <c r="H13" s="29">
        <f>ROUNDUP(D13*50,0)</f>
        <v>600</v>
      </c>
      <c r="I13" s="69">
        <f t="shared" ref="I13" si="3">ROUNDUP(G13+H13,0)</f>
        <v>1500</v>
      </c>
      <c r="J13" s="10"/>
      <c r="K13" s="10"/>
      <c r="L13" s="10"/>
      <c r="M13" s="12"/>
      <c r="N13" s="8"/>
    </row>
    <row r="14" spans="1:14" ht="15" customHeight="1" x14ac:dyDescent="0.35">
      <c r="A14" s="68">
        <v>7</v>
      </c>
      <c r="B14" s="3" t="s">
        <v>85</v>
      </c>
      <c r="C14" s="1" t="s">
        <v>86</v>
      </c>
      <c r="D14" s="18">
        <f>3*2.1*11*1.1</f>
        <v>76.230000000000018</v>
      </c>
      <c r="E14" s="1" t="s">
        <v>30</v>
      </c>
      <c r="F14" s="42">
        <v>75</v>
      </c>
      <c r="G14" s="29">
        <f t="shared" si="0"/>
        <v>5718</v>
      </c>
      <c r="H14" s="29"/>
      <c r="I14" s="69">
        <f t="shared" si="1"/>
        <v>5718</v>
      </c>
      <c r="J14" s="8"/>
      <c r="K14" s="52"/>
      <c r="M14" s="52"/>
      <c r="N14" s="8"/>
    </row>
    <row r="15" spans="1:14" ht="15" customHeight="1" x14ac:dyDescent="0.35">
      <c r="A15" s="68"/>
      <c r="B15" s="22" t="s">
        <v>20</v>
      </c>
      <c r="C15" s="15"/>
      <c r="D15" s="15"/>
      <c r="E15" s="22"/>
      <c r="F15" s="43"/>
      <c r="G15" s="33"/>
      <c r="H15" s="32"/>
      <c r="I15" s="70"/>
    </row>
    <row r="16" spans="1:14" ht="15" customHeight="1" x14ac:dyDescent="0.35">
      <c r="A16" s="68">
        <v>8</v>
      </c>
      <c r="B16" s="3" t="s">
        <v>11</v>
      </c>
      <c r="C16" s="78" t="s">
        <v>94</v>
      </c>
      <c r="D16" s="2">
        <v>4</v>
      </c>
      <c r="E16" s="1" t="s">
        <v>25</v>
      </c>
      <c r="F16" s="44">
        <v>9500</v>
      </c>
      <c r="G16" s="29">
        <f t="shared" ref="G16:G18" si="4">F16*D16</f>
        <v>38000</v>
      </c>
      <c r="H16" s="29"/>
      <c r="I16" s="69">
        <f t="shared" ref="I16:I23" si="5">ROUNDUP(G16+H16,0)</f>
        <v>38000</v>
      </c>
    </row>
    <row r="17" spans="1:9" ht="15" customHeight="1" x14ac:dyDescent="0.35">
      <c r="A17" s="68">
        <v>9</v>
      </c>
      <c r="B17" s="3" t="s">
        <v>10</v>
      </c>
      <c r="C17" s="1" t="s">
        <v>21</v>
      </c>
      <c r="D17" s="18">
        <v>10</v>
      </c>
      <c r="E17" s="1" t="s">
        <v>25</v>
      </c>
      <c r="F17" s="44">
        <v>350</v>
      </c>
      <c r="G17" s="29">
        <f t="shared" si="4"/>
        <v>3500</v>
      </c>
      <c r="H17" s="29"/>
      <c r="I17" s="69">
        <f t="shared" si="5"/>
        <v>3500</v>
      </c>
    </row>
    <row r="18" spans="1:9" ht="15" customHeight="1" x14ac:dyDescent="0.35">
      <c r="A18" s="68">
        <v>10</v>
      </c>
      <c r="B18" s="3" t="s">
        <v>39</v>
      </c>
      <c r="C18" s="1" t="s">
        <v>72</v>
      </c>
      <c r="D18" s="18">
        <v>300</v>
      </c>
      <c r="E18" s="1" t="s">
        <v>25</v>
      </c>
      <c r="F18" s="44">
        <v>8</v>
      </c>
      <c r="G18" s="29">
        <f t="shared" si="4"/>
        <v>2400</v>
      </c>
      <c r="H18" s="29"/>
      <c r="I18" s="69">
        <f t="shared" si="5"/>
        <v>2400</v>
      </c>
    </row>
    <row r="19" spans="1:9" ht="15" customHeight="1" x14ac:dyDescent="0.35">
      <c r="A19" s="68">
        <v>11</v>
      </c>
      <c r="B19" s="3" t="s">
        <v>39</v>
      </c>
      <c r="C19" s="1" t="s">
        <v>40</v>
      </c>
      <c r="D19" s="18">
        <v>300</v>
      </c>
      <c r="E19" s="1" t="s">
        <v>25</v>
      </c>
      <c r="F19" s="44">
        <v>10</v>
      </c>
      <c r="G19" s="29">
        <f t="shared" ref="G19" si="6">F19*D19</f>
        <v>3000</v>
      </c>
      <c r="H19" s="29"/>
      <c r="I19" s="69">
        <f t="shared" ref="I19" si="7">ROUNDUP(G19+H19,0)</f>
        <v>3000</v>
      </c>
    </row>
    <row r="20" spans="1:9" ht="15" customHeight="1" x14ac:dyDescent="0.35">
      <c r="A20" s="68">
        <v>12</v>
      </c>
      <c r="B20" s="3" t="s">
        <v>39</v>
      </c>
      <c r="C20" s="1" t="s">
        <v>73</v>
      </c>
      <c r="D20" s="18">
        <v>250</v>
      </c>
      <c r="E20" s="1" t="s">
        <v>25</v>
      </c>
      <c r="F20" s="44">
        <v>15</v>
      </c>
      <c r="G20" s="29">
        <f t="shared" ref="G20" si="8">F20*D20</f>
        <v>3750</v>
      </c>
      <c r="H20" s="29"/>
      <c r="I20" s="69">
        <f t="shared" ref="I20" si="9">ROUNDUP(G20+H20,0)</f>
        <v>3750</v>
      </c>
    </row>
    <row r="21" spans="1:9" ht="15" customHeight="1" x14ac:dyDescent="0.35">
      <c r="A21" s="68">
        <v>13</v>
      </c>
      <c r="B21" s="3" t="s">
        <v>39</v>
      </c>
      <c r="C21" s="1" t="s">
        <v>80</v>
      </c>
      <c r="D21" s="18">
        <v>50</v>
      </c>
      <c r="E21" s="1" t="s">
        <v>25</v>
      </c>
      <c r="F21" s="44">
        <v>20</v>
      </c>
      <c r="G21" s="29">
        <f t="shared" ref="G21" si="10">F21*D21</f>
        <v>1000</v>
      </c>
      <c r="H21" s="29"/>
      <c r="I21" s="69">
        <f t="shared" ref="I21" si="11">ROUNDUP(G21+H21,0)</f>
        <v>1000</v>
      </c>
    </row>
    <row r="22" spans="1:9" ht="15" customHeight="1" x14ac:dyDescent="0.35">
      <c r="A22" s="68">
        <v>14</v>
      </c>
      <c r="B22" s="3" t="s">
        <v>38</v>
      </c>
      <c r="C22" s="1" t="s">
        <v>57</v>
      </c>
      <c r="D22" s="2">
        <v>1</v>
      </c>
      <c r="E22" s="1" t="s">
        <v>31</v>
      </c>
      <c r="F22" s="44">
        <v>2500</v>
      </c>
      <c r="G22" s="29">
        <f>F22*D22</f>
        <v>2500</v>
      </c>
      <c r="H22" s="29"/>
      <c r="I22" s="69">
        <f t="shared" ref="I22" si="12">ROUNDUP(G22+H22,0)</f>
        <v>2500</v>
      </c>
    </row>
    <row r="23" spans="1:9" ht="15" customHeight="1" x14ac:dyDescent="0.35">
      <c r="A23" s="68">
        <v>15</v>
      </c>
      <c r="B23" s="17" t="s">
        <v>81</v>
      </c>
      <c r="C23" s="19"/>
      <c r="D23" s="20">
        <f>3*2.1*1.1</f>
        <v>6.9300000000000015</v>
      </c>
      <c r="E23" s="1" t="s">
        <v>33</v>
      </c>
      <c r="F23" s="44">
        <v>350</v>
      </c>
      <c r="G23" s="29">
        <f t="shared" ref="G23" si="13">F23*D23</f>
        <v>2425.5000000000005</v>
      </c>
      <c r="H23" s="29"/>
      <c r="I23" s="69">
        <f t="shared" si="5"/>
        <v>2426</v>
      </c>
    </row>
    <row r="24" spans="1:9" ht="15" customHeight="1" x14ac:dyDescent="0.35">
      <c r="A24" s="68">
        <v>16</v>
      </c>
      <c r="B24" s="17" t="s">
        <v>82</v>
      </c>
      <c r="C24" s="19" t="s">
        <v>83</v>
      </c>
      <c r="D24" s="20">
        <v>8</v>
      </c>
      <c r="E24" s="1" t="s">
        <v>25</v>
      </c>
      <c r="F24" s="44">
        <v>950</v>
      </c>
      <c r="G24" s="29">
        <f t="shared" ref="G24" si="14">F24*D24</f>
        <v>7600</v>
      </c>
      <c r="H24" s="29"/>
      <c r="I24" s="69">
        <f t="shared" ref="I24" si="15">ROUNDUP(G24+H24,0)</f>
        <v>7600</v>
      </c>
    </row>
    <row r="25" spans="1:9" ht="15" customHeight="1" x14ac:dyDescent="0.35">
      <c r="A25" s="68">
        <v>17</v>
      </c>
      <c r="B25" s="17" t="s">
        <v>84</v>
      </c>
      <c r="C25" s="19" t="s">
        <v>119</v>
      </c>
      <c r="D25" s="20">
        <v>8</v>
      </c>
      <c r="E25" s="1" t="s">
        <v>25</v>
      </c>
      <c r="F25" s="44">
        <v>3000</v>
      </c>
      <c r="G25" s="29">
        <f t="shared" ref="G25" si="16">F25*D25</f>
        <v>24000</v>
      </c>
      <c r="H25" s="29"/>
      <c r="I25" s="69">
        <f>ROUNDUP(G25+H25,0)</f>
        <v>24000</v>
      </c>
    </row>
    <row r="26" spans="1:9" ht="15" customHeight="1" x14ac:dyDescent="0.35">
      <c r="A26" s="68">
        <v>18</v>
      </c>
      <c r="B26" s="17" t="s">
        <v>100</v>
      </c>
      <c r="C26" s="19" t="s">
        <v>121</v>
      </c>
      <c r="D26" s="20">
        <v>1</v>
      </c>
      <c r="E26" s="1" t="s">
        <v>25</v>
      </c>
      <c r="F26" s="44">
        <v>3000</v>
      </c>
      <c r="G26" s="29">
        <f t="shared" ref="G26" si="17">F26*D26</f>
        <v>3000</v>
      </c>
      <c r="H26" s="29"/>
      <c r="I26" s="69">
        <f t="shared" ref="I26" si="18">ROUNDUP(G26+H26,0)</f>
        <v>3000</v>
      </c>
    </row>
    <row r="27" spans="1:9" ht="15" customHeight="1" x14ac:dyDescent="0.35">
      <c r="A27" s="68">
        <v>19</v>
      </c>
      <c r="B27" s="17" t="s">
        <v>99</v>
      </c>
      <c r="C27" s="19"/>
      <c r="D27" s="20">
        <v>4</v>
      </c>
      <c r="E27" s="1" t="s">
        <v>25</v>
      </c>
      <c r="F27" s="44">
        <v>1000</v>
      </c>
      <c r="G27" s="29">
        <f t="shared" ref="G27:G28" si="19">F27*D27</f>
        <v>4000</v>
      </c>
      <c r="H27" s="29"/>
      <c r="I27" s="69">
        <f t="shared" ref="I27:I28" si="20">ROUNDUP(G27+H27,0)</f>
        <v>4000</v>
      </c>
    </row>
    <row r="28" spans="1:9" ht="15" customHeight="1" x14ac:dyDescent="0.35">
      <c r="A28" s="68">
        <v>20</v>
      </c>
      <c r="B28" s="17" t="s">
        <v>120</v>
      </c>
      <c r="C28" s="19" t="s">
        <v>102</v>
      </c>
      <c r="D28" s="20">
        <v>1</v>
      </c>
      <c r="E28" s="1" t="s">
        <v>25</v>
      </c>
      <c r="F28" s="44">
        <v>7500</v>
      </c>
      <c r="G28" s="29">
        <f t="shared" si="19"/>
        <v>7500</v>
      </c>
      <c r="H28" s="29"/>
      <c r="I28" s="69">
        <f t="shared" si="20"/>
        <v>7500</v>
      </c>
    </row>
    <row r="29" spans="1:9" ht="15" customHeight="1" x14ac:dyDescent="0.35">
      <c r="A29" s="68">
        <v>21</v>
      </c>
      <c r="B29" s="17" t="s">
        <v>101</v>
      </c>
      <c r="C29" s="19"/>
      <c r="D29" s="20">
        <v>4</v>
      </c>
      <c r="E29" s="1" t="s">
        <v>25</v>
      </c>
      <c r="F29" s="44">
        <v>1000</v>
      </c>
      <c r="G29" s="29">
        <f t="shared" ref="G29" si="21">F29*D29</f>
        <v>4000</v>
      </c>
      <c r="H29" s="29"/>
      <c r="I29" s="69">
        <f t="shared" ref="I29" si="22">ROUNDUP(G29+H29,0)</f>
        <v>4000</v>
      </c>
    </row>
    <row r="30" spans="1:9" ht="15" customHeight="1" x14ac:dyDescent="0.35">
      <c r="A30" s="68">
        <v>22</v>
      </c>
      <c r="B30" s="17" t="s">
        <v>103</v>
      </c>
      <c r="C30" s="19"/>
      <c r="D30" s="20">
        <v>8</v>
      </c>
      <c r="E30" s="1" t="s">
        <v>104</v>
      </c>
      <c r="F30" s="44">
        <v>900</v>
      </c>
      <c r="G30" s="29">
        <f t="shared" ref="G30" si="23">F30*D30</f>
        <v>7200</v>
      </c>
      <c r="H30" s="29"/>
      <c r="I30" s="69">
        <f t="shared" ref="I30" si="24">ROUNDUP(G30+H30,0)</f>
        <v>7200</v>
      </c>
    </row>
    <row r="31" spans="1:9" ht="15" customHeight="1" x14ac:dyDescent="0.35">
      <c r="A31" s="68">
        <v>23</v>
      </c>
      <c r="B31" s="17" t="s">
        <v>87</v>
      </c>
      <c r="C31" s="19" t="s">
        <v>105</v>
      </c>
      <c r="D31" s="20">
        <v>4</v>
      </c>
      <c r="E31" s="1" t="s">
        <v>25</v>
      </c>
      <c r="F31" s="44">
        <v>250</v>
      </c>
      <c r="G31" s="29">
        <f t="shared" ref="G31" si="25">F31*D31</f>
        <v>1000</v>
      </c>
      <c r="H31" s="29"/>
      <c r="I31" s="69">
        <f t="shared" ref="I31" si="26">ROUNDUP(G31+H31,0)</f>
        <v>1000</v>
      </c>
    </row>
    <row r="32" spans="1:9" ht="17.149999999999999" customHeight="1" x14ac:dyDescent="0.35">
      <c r="A32" s="68">
        <v>24</v>
      </c>
      <c r="B32" s="79" t="s">
        <v>18</v>
      </c>
      <c r="C32" s="77" t="s">
        <v>77</v>
      </c>
      <c r="D32" s="20">
        <v>1</v>
      </c>
      <c r="E32" s="35" t="s">
        <v>25</v>
      </c>
      <c r="F32" s="44">
        <v>65000</v>
      </c>
      <c r="G32" s="29">
        <f>F32*D32</f>
        <v>65000</v>
      </c>
      <c r="H32" s="29"/>
      <c r="I32" s="69">
        <f t="shared" ref="I32:I35" si="27">ROUNDUP(G32+H32,0)</f>
        <v>65000</v>
      </c>
    </row>
    <row r="33" spans="1:11" ht="16" customHeight="1" x14ac:dyDescent="0.35">
      <c r="A33" s="68">
        <v>25</v>
      </c>
      <c r="B33" s="58" t="s">
        <v>75</v>
      </c>
      <c r="C33" s="77" t="s">
        <v>95</v>
      </c>
      <c r="D33" s="20">
        <v>1</v>
      </c>
      <c r="E33" s="35" t="s">
        <v>25</v>
      </c>
      <c r="F33" s="44">
        <v>35000</v>
      </c>
      <c r="G33" s="29">
        <f t="shared" ref="G33:G35" si="28">F33*D33</f>
        <v>35000</v>
      </c>
      <c r="H33" s="29"/>
      <c r="I33" s="69">
        <f t="shared" si="27"/>
        <v>35000</v>
      </c>
    </row>
    <row r="34" spans="1:11" ht="16" customHeight="1" x14ac:dyDescent="0.35">
      <c r="A34" s="68">
        <v>26</v>
      </c>
      <c r="B34" s="58" t="s">
        <v>106</v>
      </c>
      <c r="C34" s="77" t="s">
        <v>96</v>
      </c>
      <c r="D34" s="20">
        <v>1</v>
      </c>
      <c r="E34" s="35" t="s">
        <v>25</v>
      </c>
      <c r="F34" s="44">
        <v>10000</v>
      </c>
      <c r="G34" s="29">
        <f>F34*D34</f>
        <v>10000</v>
      </c>
      <c r="H34" s="29"/>
      <c r="I34" s="69">
        <f>ROUNDUP(G34+H34,0)</f>
        <v>10000</v>
      </c>
    </row>
    <row r="35" spans="1:11" ht="32.25" customHeight="1" x14ac:dyDescent="0.35">
      <c r="A35" s="68">
        <v>27</v>
      </c>
      <c r="B35" s="17" t="s">
        <v>67</v>
      </c>
      <c r="C35" s="19" t="s">
        <v>97</v>
      </c>
      <c r="D35" s="20">
        <v>1</v>
      </c>
      <c r="E35" s="35" t="s">
        <v>68</v>
      </c>
      <c r="F35" s="44">
        <v>95000</v>
      </c>
      <c r="G35" s="29">
        <f t="shared" si="28"/>
        <v>95000</v>
      </c>
      <c r="H35" s="29"/>
      <c r="I35" s="69">
        <f t="shared" si="27"/>
        <v>95000</v>
      </c>
    </row>
    <row r="36" spans="1:11" ht="30.75" customHeight="1" x14ac:dyDescent="0.35">
      <c r="A36" s="68">
        <v>28</v>
      </c>
      <c r="B36" s="17" t="s">
        <v>66</v>
      </c>
      <c r="C36" s="19" t="s">
        <v>97</v>
      </c>
      <c r="D36" s="20">
        <v>1</v>
      </c>
      <c r="E36" s="35" t="s">
        <v>68</v>
      </c>
      <c r="F36" s="44">
        <v>115000</v>
      </c>
      <c r="G36" s="29">
        <f t="shared" ref="G36" si="29">F36*D36</f>
        <v>115000</v>
      </c>
      <c r="H36" s="29"/>
      <c r="I36" s="69">
        <f t="shared" ref="I36" si="30">ROUNDUP(G36+H36,0)</f>
        <v>115000</v>
      </c>
    </row>
    <row r="37" spans="1:11" ht="23.25" customHeight="1" x14ac:dyDescent="0.35">
      <c r="A37" s="68">
        <v>29</v>
      </c>
      <c r="B37" s="3" t="s">
        <v>70</v>
      </c>
      <c r="C37" s="63"/>
      <c r="D37" s="18">
        <f>'Paint Spray Booth - Dry'!C30</f>
        <v>1134</v>
      </c>
      <c r="E37" s="1" t="s">
        <v>71</v>
      </c>
      <c r="F37" s="62">
        <v>35</v>
      </c>
      <c r="G37" s="62">
        <f t="shared" ref="G37" si="31">D37*F37</f>
        <v>39690</v>
      </c>
      <c r="H37" s="62"/>
      <c r="I37" s="80">
        <f t="shared" ref="I37" si="32">G37</f>
        <v>39690</v>
      </c>
    </row>
    <row r="38" spans="1:11" ht="33" customHeight="1" x14ac:dyDescent="0.35">
      <c r="A38" s="113" t="s">
        <v>55</v>
      </c>
      <c r="B38" s="114"/>
      <c r="C38" s="114"/>
      <c r="D38" s="114"/>
      <c r="E38" s="114"/>
      <c r="F38" s="114"/>
      <c r="G38" s="114"/>
      <c r="H38" s="115"/>
      <c r="I38" s="71">
        <f>SUM(I8:I37)</f>
        <v>649264</v>
      </c>
      <c r="J38" s="59"/>
    </row>
    <row r="39" spans="1:11" ht="15" customHeight="1" x14ac:dyDescent="0.35">
      <c r="A39" s="72"/>
      <c r="F39" s="55"/>
      <c r="G39" s="56"/>
      <c r="H39" s="56"/>
      <c r="I39" s="73"/>
      <c r="J39" s="57"/>
    </row>
    <row r="40" spans="1:11" ht="19.5" customHeight="1" x14ac:dyDescent="0.35">
      <c r="A40" s="107" t="s">
        <v>78</v>
      </c>
      <c r="B40" s="108"/>
      <c r="C40" s="108"/>
      <c r="D40" s="108"/>
      <c r="E40" s="108"/>
      <c r="F40" s="108"/>
      <c r="G40" s="108"/>
      <c r="H40" s="108"/>
      <c r="I40" s="109"/>
      <c r="K40" s="38"/>
    </row>
    <row r="41" spans="1:11" ht="18" customHeight="1" x14ac:dyDescent="0.35">
      <c r="A41" s="68">
        <v>1</v>
      </c>
      <c r="B41" s="3" t="s">
        <v>45</v>
      </c>
      <c r="C41" s="1" t="s">
        <v>98</v>
      </c>
      <c r="D41" s="18">
        <f>0.6*4*10*1.1</f>
        <v>26.400000000000002</v>
      </c>
      <c r="E41" s="1" t="s">
        <v>46</v>
      </c>
      <c r="F41" s="42">
        <v>3500</v>
      </c>
      <c r="G41" s="29">
        <f>ROUNDUP(D41*F41,0)</f>
        <v>92400</v>
      </c>
      <c r="H41" s="29"/>
      <c r="I41" s="69">
        <f>ROUNDUP(G41+H41,0)</f>
        <v>92400</v>
      </c>
    </row>
    <row r="42" spans="1:11" ht="18" customHeight="1" x14ac:dyDescent="0.35">
      <c r="A42" s="68">
        <v>2</v>
      </c>
      <c r="B42" s="3" t="s">
        <v>59</v>
      </c>
      <c r="C42" s="75"/>
      <c r="D42" s="2">
        <f>4*21</f>
        <v>84</v>
      </c>
      <c r="E42" s="1" t="s">
        <v>35</v>
      </c>
      <c r="F42" s="42">
        <v>150</v>
      </c>
      <c r="G42" s="29">
        <f>D42*F42</f>
        <v>12600</v>
      </c>
      <c r="H42" s="29"/>
      <c r="I42" s="69">
        <f>G42</f>
        <v>12600</v>
      </c>
      <c r="K42" s="38"/>
    </row>
    <row r="43" spans="1:11" ht="26.25" customHeight="1" x14ac:dyDescent="0.35">
      <c r="A43" s="113" t="s">
        <v>54</v>
      </c>
      <c r="B43" s="114"/>
      <c r="C43" s="114"/>
      <c r="D43" s="114"/>
      <c r="E43" s="114"/>
      <c r="F43" s="114"/>
      <c r="G43" s="114"/>
      <c r="H43" s="115"/>
      <c r="I43" s="74">
        <f>SUM(I40:I42)</f>
        <v>105000</v>
      </c>
      <c r="J43" s="59"/>
      <c r="K43" s="38"/>
    </row>
  </sheetData>
  <mergeCells count="6">
    <mergeCell ref="A1:I3"/>
    <mergeCell ref="A4:C4"/>
    <mergeCell ref="A40:I40"/>
    <mergeCell ref="A6:I6"/>
    <mergeCell ref="A43:H43"/>
    <mergeCell ref="A38:H38"/>
  </mergeCells>
  <hyperlinks>
    <hyperlink ref="A6" location="Length!A1" display="PRESS" xr:uid="{00000000-0004-0000-0000-000000000000}"/>
    <hyperlink ref="A6:I6" location="'Paint Spray Booth - Dry'!A1" display="PRESS" xr:uid="{00000000-0004-0000-0000-000001000000}"/>
    <hyperlink ref="B32" r:id="rId1" xr:uid="{3CF1F121-907C-477A-A612-2F3C3B7B666F}"/>
    <hyperlink ref="B33" r:id="rId2" display="Motor" xr:uid="{E3DEC264-11F4-4E39-A9C2-AFD63DC77D85}"/>
  </hyperlinks>
  <pageMargins left="0.7" right="0.7" top="0.75" bottom="0.75" header="0.3" footer="0.3"/>
  <pageSetup orientation="portrait" verticalDpi="0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2:U36"/>
  <sheetViews>
    <sheetView zoomScale="85" zoomScaleNormal="85" workbookViewId="0">
      <selection activeCell="E22" sqref="E22"/>
    </sheetView>
  </sheetViews>
  <sheetFormatPr defaultColWidth="9.1796875" defaultRowHeight="13.5" x14ac:dyDescent="0.35"/>
  <cols>
    <col min="1" max="1" width="9.1796875" style="8"/>
    <col min="2" max="2" width="48.453125" style="8" customWidth="1"/>
    <col min="3" max="3" width="12.453125" style="10" customWidth="1"/>
    <col min="4" max="4" width="10" style="10" customWidth="1"/>
    <col min="5" max="5" width="13.1796875" style="10" customWidth="1"/>
    <col min="6" max="6" width="10.453125" style="8" customWidth="1"/>
    <col min="7" max="7" width="8.26953125" style="8" customWidth="1"/>
    <col min="8" max="8" width="10.1796875" style="8" customWidth="1"/>
    <col min="9" max="10" width="9.1796875" style="8"/>
    <col min="11" max="11" width="17.26953125" style="8" bestFit="1" customWidth="1"/>
    <col min="12" max="12" width="13.26953125" style="8" bestFit="1" customWidth="1"/>
    <col min="13" max="13" width="9.1796875" style="8"/>
    <col min="14" max="14" width="17.26953125" style="8" bestFit="1" customWidth="1"/>
    <col min="15" max="15" width="12.81640625" style="8" bestFit="1" customWidth="1"/>
    <col min="16" max="16384" width="9.1796875" style="8"/>
  </cols>
  <sheetData>
    <row r="2" spans="2:21" ht="14" x14ac:dyDescent="0.35">
      <c r="B2" s="7" t="s">
        <v>16</v>
      </c>
      <c r="C2" s="10" t="s">
        <v>6</v>
      </c>
      <c r="E2" s="9" t="s">
        <v>7</v>
      </c>
      <c r="F2" s="9" t="s">
        <v>8</v>
      </c>
      <c r="G2" s="9" t="s">
        <v>9</v>
      </c>
      <c r="K2" s="9"/>
      <c r="L2" s="9"/>
      <c r="M2" s="9"/>
    </row>
    <row r="3" spans="2:21" x14ac:dyDescent="0.35">
      <c r="C3" s="10" t="s">
        <v>53</v>
      </c>
      <c r="E3" s="10">
        <v>3000</v>
      </c>
      <c r="F3" s="10">
        <v>2250</v>
      </c>
      <c r="G3" s="10">
        <v>2400</v>
      </c>
      <c r="L3" s="10"/>
      <c r="M3" s="10"/>
      <c r="N3" s="49"/>
    </row>
    <row r="4" spans="2:21" ht="14" x14ac:dyDescent="0.35">
      <c r="D4" s="9"/>
    </row>
    <row r="5" spans="2:21" ht="14" x14ac:dyDescent="0.35">
      <c r="C5" s="9" t="s">
        <v>52</v>
      </c>
      <c r="E5" s="10">
        <f>E3+100</f>
        <v>3100</v>
      </c>
      <c r="F5" s="10">
        <f>F3+750</f>
        <v>3000</v>
      </c>
      <c r="G5" s="10">
        <f>G3+100+50</f>
        <v>2550</v>
      </c>
      <c r="K5" s="8">
        <f>E3</f>
        <v>3000</v>
      </c>
      <c r="L5" s="81">
        <f>G3</f>
        <v>2400</v>
      </c>
      <c r="M5" s="12"/>
      <c r="N5" s="12"/>
    </row>
    <row r="6" spans="2:21" ht="14" x14ac:dyDescent="0.35">
      <c r="B6" s="7" t="s">
        <v>64</v>
      </c>
      <c r="M6" s="7"/>
      <c r="N6" s="5"/>
      <c r="O6" s="5"/>
    </row>
    <row r="7" spans="2:21" ht="14" x14ac:dyDescent="0.35">
      <c r="B7" s="7" t="s">
        <v>17</v>
      </c>
      <c r="L7" s="8">
        <f>(K5/1000)*(L5/1000)</f>
        <v>7.1999999999999993</v>
      </c>
      <c r="M7" s="7" t="s">
        <v>51</v>
      </c>
      <c r="N7" s="5"/>
      <c r="U7" s="7"/>
    </row>
    <row r="8" spans="2:21" ht="14" x14ac:dyDescent="0.35">
      <c r="B8" s="8" t="s">
        <v>65</v>
      </c>
      <c r="C8" s="13">
        <f>ROUNDUP((E5/750)*(G3/2500),0)</f>
        <v>4</v>
      </c>
      <c r="D8" s="23" t="s">
        <v>31</v>
      </c>
      <c r="K8" s="9"/>
      <c r="L8" s="8">
        <v>0.5</v>
      </c>
      <c r="M8" s="47" t="s">
        <v>76</v>
      </c>
      <c r="N8" s="50"/>
      <c r="T8" s="12"/>
    </row>
    <row r="9" spans="2:21" ht="14" x14ac:dyDescent="0.35">
      <c r="B9" s="8" t="s">
        <v>89</v>
      </c>
      <c r="C9" s="13">
        <f>C8</f>
        <v>4</v>
      </c>
      <c r="D9" s="23" t="s">
        <v>31</v>
      </c>
      <c r="J9" s="9"/>
      <c r="K9" s="9"/>
      <c r="L9" s="12">
        <f>L7*L8*3600</f>
        <v>12959.999999999998</v>
      </c>
      <c r="M9" s="7" t="s">
        <v>48</v>
      </c>
      <c r="N9" s="5"/>
      <c r="T9" s="12"/>
    </row>
    <row r="10" spans="2:21" ht="14" x14ac:dyDescent="0.35">
      <c r="B10" s="8" t="s">
        <v>90</v>
      </c>
      <c r="C10" s="13">
        <f>ROUNDUP(F5/750*(G3/2500),0)</f>
        <v>4</v>
      </c>
      <c r="D10" s="23" t="s">
        <v>31</v>
      </c>
      <c r="I10" s="9"/>
      <c r="J10" s="9"/>
      <c r="L10" s="27"/>
      <c r="M10" s="26"/>
      <c r="N10" s="12"/>
      <c r="S10" s="12"/>
    </row>
    <row r="11" spans="2:21" ht="14" x14ac:dyDescent="0.35">
      <c r="B11" s="8" t="s">
        <v>14</v>
      </c>
      <c r="C11" s="13">
        <f>C10</f>
        <v>4</v>
      </c>
      <c r="D11" s="23" t="s">
        <v>31</v>
      </c>
      <c r="L11" s="48">
        <f>L9/1.7</f>
        <v>7623.5294117647054</v>
      </c>
      <c r="M11" s="46" t="s">
        <v>79</v>
      </c>
      <c r="N11" s="12"/>
    </row>
    <row r="12" spans="2:21" ht="14" x14ac:dyDescent="0.35">
      <c r="B12" s="8" t="s">
        <v>13</v>
      </c>
      <c r="C12" s="13">
        <f>ROUNDUP((E5/750)*(F5/2500),0)</f>
        <v>5</v>
      </c>
      <c r="D12" s="23" t="s">
        <v>31</v>
      </c>
      <c r="M12" s="7"/>
      <c r="N12" s="7"/>
      <c r="O12" s="7"/>
    </row>
    <row r="13" spans="2:21" ht="14" x14ac:dyDescent="0.35">
      <c r="B13" s="8" t="s">
        <v>91</v>
      </c>
      <c r="C13" s="10">
        <v>4</v>
      </c>
      <c r="D13" s="23" t="s">
        <v>31</v>
      </c>
      <c r="K13" s="51"/>
      <c r="L13" s="52" t="s">
        <v>93</v>
      </c>
      <c r="M13" s="53"/>
      <c r="N13" s="52"/>
      <c r="O13" s="5"/>
    </row>
    <row r="14" spans="2:21" ht="14" x14ac:dyDescent="0.35">
      <c r="B14" s="8" t="s">
        <v>62</v>
      </c>
      <c r="C14" s="10">
        <v>2</v>
      </c>
      <c r="D14" s="23" t="s">
        <v>31</v>
      </c>
      <c r="K14" s="51"/>
      <c r="L14" s="52"/>
      <c r="M14" s="53"/>
      <c r="N14" s="52"/>
      <c r="O14" s="5"/>
    </row>
    <row r="15" spans="2:21" ht="14" x14ac:dyDescent="0.35">
      <c r="C15" s="25">
        <f>SUM(C8:C14)</f>
        <v>27</v>
      </c>
      <c r="D15" s="23" t="s">
        <v>31</v>
      </c>
      <c r="E15" s="10">
        <f>C15*23</f>
        <v>621</v>
      </c>
      <c r="F15" s="8" t="s">
        <v>35</v>
      </c>
      <c r="G15" s="8">
        <f>ROUNDUP(C15*3.2+(C15*3.25*10%),0)</f>
        <v>96</v>
      </c>
      <c r="H15" s="34" t="s">
        <v>34</v>
      </c>
      <c r="M15" s="7"/>
      <c r="N15" s="47"/>
      <c r="O15" s="7"/>
    </row>
    <row r="17" spans="2:14" ht="27" x14ac:dyDescent="0.35">
      <c r="B17" s="11" t="s">
        <v>42</v>
      </c>
      <c r="C17" s="10">
        <v>1</v>
      </c>
      <c r="D17" s="10" t="s">
        <v>31</v>
      </c>
      <c r="E17" s="10">
        <f>C17*150</f>
        <v>150</v>
      </c>
      <c r="F17" s="8" t="s">
        <v>35</v>
      </c>
    </row>
    <row r="18" spans="2:14" x14ac:dyDescent="0.35">
      <c r="N18" s="12"/>
    </row>
    <row r="19" spans="2:14" ht="27" x14ac:dyDescent="0.35">
      <c r="B19" s="11" t="s">
        <v>92</v>
      </c>
      <c r="C19" s="13">
        <v>2</v>
      </c>
      <c r="D19" s="10" t="s">
        <v>31</v>
      </c>
      <c r="E19" s="10">
        <f>C19*50</f>
        <v>100</v>
      </c>
      <c r="F19" s="8" t="s">
        <v>35</v>
      </c>
      <c r="L19" s="12"/>
      <c r="M19" s="12"/>
      <c r="N19" s="12"/>
    </row>
    <row r="20" spans="2:14" x14ac:dyDescent="0.35">
      <c r="B20" s="11"/>
      <c r="L20" s="12"/>
      <c r="M20" s="12"/>
      <c r="N20" s="12"/>
    </row>
    <row r="21" spans="2:14" ht="29.5" customHeight="1" x14ac:dyDescent="0.35">
      <c r="B21" s="8" t="s">
        <v>61</v>
      </c>
      <c r="C21" s="10">
        <f>ROUNDUP(((E5/1000)*3)+((F5/1000)*2)+((1000/1000)*4)+((1500/1000)*4)+((2450/1000)*4),0)</f>
        <v>36</v>
      </c>
      <c r="D21" s="24" t="s">
        <v>32</v>
      </c>
      <c r="E21" s="10">
        <f>ROUNDUP(C21/6,0)</f>
        <v>6</v>
      </c>
      <c r="F21" s="10" t="s">
        <v>31</v>
      </c>
      <c r="G21" s="8">
        <f>E21*21</f>
        <v>126</v>
      </c>
      <c r="H21" s="8" t="s">
        <v>35</v>
      </c>
      <c r="L21" s="12"/>
      <c r="M21" s="12"/>
      <c r="N21" s="12"/>
    </row>
    <row r="22" spans="2:14" x14ac:dyDescent="0.35">
      <c r="L22" s="12"/>
      <c r="M22" s="12"/>
      <c r="N22" s="12"/>
    </row>
    <row r="23" spans="2:14" x14ac:dyDescent="0.35">
      <c r="B23" s="8" t="s">
        <v>60</v>
      </c>
      <c r="C23" s="10">
        <f>ROUNDUP(((E5/1000)*3)+((F5/1000)*2)+((G5/1000)*8)+((1000/1000)*4),0)</f>
        <v>40</v>
      </c>
      <c r="D23" s="24" t="s">
        <v>32</v>
      </c>
      <c r="E23" s="10">
        <f>ROUNDUP(C23/6,0)</f>
        <v>7</v>
      </c>
      <c r="F23" s="10" t="s">
        <v>31</v>
      </c>
      <c r="G23" s="8">
        <f>E23*44</f>
        <v>308</v>
      </c>
      <c r="H23" s="8" t="s">
        <v>29</v>
      </c>
      <c r="L23" s="12"/>
      <c r="M23" s="12"/>
      <c r="N23" s="12"/>
    </row>
    <row r="24" spans="2:14" x14ac:dyDescent="0.35">
      <c r="L24" s="12"/>
      <c r="M24" s="12"/>
      <c r="N24" s="12"/>
    </row>
    <row r="25" spans="2:14" x14ac:dyDescent="0.35">
      <c r="B25" s="8" t="s">
        <v>44</v>
      </c>
      <c r="C25" s="10">
        <v>6</v>
      </c>
      <c r="D25" s="24" t="s">
        <v>32</v>
      </c>
      <c r="E25" s="10">
        <f>ROUNDUP(C25/6,0)</f>
        <v>1</v>
      </c>
      <c r="F25" s="10" t="s">
        <v>31</v>
      </c>
      <c r="G25" s="8">
        <f>E25*12</f>
        <v>12</v>
      </c>
      <c r="H25" s="8" t="s">
        <v>35</v>
      </c>
    </row>
    <row r="27" spans="2:14" ht="14" x14ac:dyDescent="0.35">
      <c r="B27" s="7" t="s">
        <v>12</v>
      </c>
    </row>
    <row r="28" spans="2:14" x14ac:dyDescent="0.35">
      <c r="C28" s="82">
        <f>ROUNDUP((C17+C15+C19)*3.25*10.76,0)</f>
        <v>1050</v>
      </c>
      <c r="D28" s="10" t="s">
        <v>30</v>
      </c>
    </row>
    <row r="29" spans="2:14" ht="14" x14ac:dyDescent="0.35">
      <c r="B29" s="7" t="s">
        <v>23</v>
      </c>
      <c r="C29" s="82">
        <f>(E21+E25+E23)*6*0.25*4</f>
        <v>84</v>
      </c>
      <c r="D29" s="10" t="s">
        <v>30</v>
      </c>
    </row>
    <row r="30" spans="2:14" ht="14" x14ac:dyDescent="0.35">
      <c r="C30" s="83">
        <f>SUM(C28:C29)</f>
        <v>1134</v>
      </c>
      <c r="D30" s="10" t="s">
        <v>30</v>
      </c>
      <c r="E30" s="8"/>
    </row>
    <row r="31" spans="2:14" x14ac:dyDescent="0.35">
      <c r="C31" s="8"/>
    </row>
    <row r="34" spans="3:5" ht="14" x14ac:dyDescent="0.35">
      <c r="E34" s="9"/>
    </row>
    <row r="36" spans="3:5" x14ac:dyDescent="0.35">
      <c r="C36" s="14"/>
      <c r="D36" s="1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Combine</vt:lpstr>
      <vt:lpstr>Costing Sheet</vt:lpstr>
      <vt:lpstr>Paint Spray Booth - Dry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2026-07-23T19:25:36Z</dcterms:modified>
</cp:coreProperties>
</file>