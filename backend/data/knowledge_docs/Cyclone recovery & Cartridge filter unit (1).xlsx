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13_ncr:1_{EA91D102-ECBA-4496-BF34-0D988EBF595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bine" sheetId="35" r:id="rId1"/>
    <sheet name="Cyclone &amp; Duct" sheetId="34" r:id="rId2"/>
    <sheet name="Catridge filter unit" sheetId="3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34" l="1"/>
  <c r="I21" i="34"/>
  <c r="B10" i="35"/>
  <c r="B3" i="35"/>
  <c r="B2" i="35"/>
  <c r="I16" i="33"/>
  <c r="H8" i="33"/>
  <c r="H9" i="33" s="1"/>
  <c r="H13" i="33" s="1"/>
  <c r="I23" i="34"/>
  <c r="I13" i="34"/>
  <c r="I12" i="34"/>
  <c r="I11" i="34"/>
  <c r="I10" i="34"/>
  <c r="I9" i="34"/>
  <c r="H6" i="34"/>
  <c r="H7" i="34" s="1"/>
  <c r="G7" i="34"/>
  <c r="G6" i="34"/>
  <c r="I14" i="34"/>
  <c r="G5" i="34"/>
  <c r="I5" i="34" s="1"/>
  <c r="G4" i="34"/>
  <c r="I4" i="34" s="1"/>
  <c r="H12" i="33" l="1"/>
  <c r="H10" i="33"/>
  <c r="H11" i="33"/>
  <c r="I6" i="34"/>
  <c r="I25" i="34"/>
  <c r="B4" i="35" s="1"/>
  <c r="B6" i="35" s="1"/>
  <c r="I7" i="34"/>
  <c r="B13" i="35" l="1"/>
  <c r="B11" i="35"/>
  <c r="B8" i="35"/>
  <c r="I16" i="34"/>
  <c r="G10" i="33"/>
  <c r="I10" i="33" s="1"/>
  <c r="G11" i="33"/>
  <c r="I11" i="33"/>
  <c r="G9" i="33" l="1"/>
  <c r="G7" i="33"/>
  <c r="I23" i="33" l="1"/>
  <c r="I22" i="33"/>
  <c r="I21" i="33"/>
  <c r="I20" i="33"/>
  <c r="I18" i="33"/>
  <c r="I17" i="33"/>
  <c r="I15" i="33"/>
  <c r="I14" i="33"/>
  <c r="I19" i="33"/>
  <c r="I9" i="33"/>
  <c r="I7" i="33"/>
  <c r="G8" i="33"/>
  <c r="I8" i="33" s="1"/>
  <c r="G12" i="33"/>
  <c r="I12" i="33" s="1"/>
  <c r="G13" i="33"/>
  <c r="I13" i="33" s="1"/>
  <c r="I24" i="33" l="1"/>
</calcChain>
</file>

<file path=xl/sharedStrings.xml><?xml version="1.0" encoding="utf-8"?>
<sst xmlns="http://schemas.openxmlformats.org/spreadsheetml/2006/main" count="95" uniqueCount="65">
  <si>
    <t>Bought Out Items</t>
  </si>
  <si>
    <t>Sq.ft</t>
  </si>
  <si>
    <t>RAW Materials</t>
  </si>
  <si>
    <t>1250 x 2500 x 1.6 thk</t>
  </si>
  <si>
    <t>Nos</t>
  </si>
  <si>
    <t>Painting Area</t>
  </si>
  <si>
    <t>MS 16 swg - CR Sheet</t>
  </si>
  <si>
    <t>MS 14 swg - CR Sheet</t>
  </si>
  <si>
    <t>1250 x 2500 x 2 thk</t>
  </si>
  <si>
    <t>No</t>
  </si>
  <si>
    <t>MS - Plate</t>
  </si>
  <si>
    <t>Toggle Clamp</t>
  </si>
  <si>
    <t>PAH - 1515</t>
  </si>
  <si>
    <t>Total - 1 qty</t>
  </si>
  <si>
    <t>VITECH ENVIRO SYSTEMS PVT LTD</t>
  </si>
  <si>
    <t>MS- SHEET -  mm 2</t>
  </si>
  <si>
    <t>2500x1250x2mm</t>
  </si>
  <si>
    <t>MS- PLATE-  mm 6</t>
  </si>
  <si>
    <t>2500x1250x6mm</t>
  </si>
  <si>
    <t>MS CHANNEL</t>
  </si>
  <si>
    <t>75x40x6000(L)x6 (T)</t>
  </si>
  <si>
    <t>MS FLAT</t>
  </si>
  <si>
    <t>40x6x6000(L)x6 (T)</t>
  </si>
  <si>
    <t>MS SQUARE TUBE</t>
  </si>
  <si>
    <t>40x40x2x6000(L)x2 (T)</t>
  </si>
  <si>
    <t>MS ANGLE</t>
  </si>
  <si>
    <t>40x40x6x6000(L)x2 (T)</t>
  </si>
  <si>
    <t>PAINTING AREA</t>
  </si>
  <si>
    <t>CATRIDGE FILTER</t>
  </si>
  <si>
    <t>Dia 225 x 1000</t>
  </si>
  <si>
    <t>SOLINOID VALVE</t>
  </si>
  <si>
    <t>1"</t>
  </si>
  <si>
    <t>TIMER - 8 CHANEL</t>
  </si>
  <si>
    <t>AIR RECEIVER TANK</t>
  </si>
  <si>
    <t>Set</t>
  </si>
  <si>
    <t>CANVAS</t>
  </si>
  <si>
    <t>PRESSURE GAUGE</t>
  </si>
  <si>
    <t>0-7 KG/CM2</t>
  </si>
  <si>
    <t>LOW PRESSURE GAUGE</t>
  </si>
  <si>
    <t>MM WC</t>
  </si>
  <si>
    <t>CONSUMABLES</t>
  </si>
  <si>
    <t>MS- SHEET -  mm 1.6</t>
  </si>
  <si>
    <t>2500x1250x1.6mm</t>
  </si>
  <si>
    <t>Cyclone Recovery Unit</t>
  </si>
  <si>
    <t>MS Angle - ISA 65</t>
  </si>
  <si>
    <t>65 x 65 x 6 x 6000 L</t>
  </si>
  <si>
    <t>1250 x 2500 x 6 T</t>
  </si>
  <si>
    <t>Wheel</t>
  </si>
  <si>
    <t>2" dia</t>
  </si>
  <si>
    <t>Rubber Foam Gasket</t>
  </si>
  <si>
    <t>40 x 5 thick</t>
  </si>
  <si>
    <t>Roll</t>
  </si>
  <si>
    <t>Wing nut</t>
  </si>
  <si>
    <t>M10</t>
  </si>
  <si>
    <t>M10 x 40</t>
  </si>
  <si>
    <t>GI BN2W</t>
  </si>
  <si>
    <t>Other accessories</t>
  </si>
  <si>
    <t>1500 x 3000 x 1.6 thk</t>
  </si>
  <si>
    <t>Inlet &amp; Outlet Duct - Dia 450</t>
  </si>
  <si>
    <t>DUST COLLECTOR - CATRIDGE TYPE (3 x 3  = 9 FILTER)</t>
  </si>
  <si>
    <t xml:space="preserve">Date : </t>
  </si>
  <si>
    <t>CARTDIGE  FILTER UNIT</t>
  </si>
  <si>
    <t>Air Filter</t>
  </si>
  <si>
    <t>550 x x 550 x 30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</si>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</sst>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44" fontId="2" fillId="3" borderId="1" xfId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wrapText="1"/>
    </xf>
    <xf numFmtId="43" fontId="0" fillId="0" borderId="1" xfId="2" applyFont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43" fontId="0" fillId="0" borderId="0" xfId="0" applyNumberFormat="1"/>
    <xf numFmtId="44" fontId="0" fillId="0" borderId="0" xfId="0" applyNumberFormat="1"/>
    <xf numFmtId="44" fontId="0" fillId="0" borderId="0" xfId="1" applyFont="1"/>
    <xf numFmtId="43" fontId="0" fillId="0" borderId="0" xfId="4" applyFont="1"/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</cellXfs>
  <cellStyles count="5">
    <cellStyle name="Comma" xfId="4" builtinId="3"/>
    <cellStyle name="Comma 2" xfId="2" xr:uid="{8D9B8408-6E10-47B5-A4B8-4579A17C04E4}"/>
    <cellStyle name="Currency" xfId="1" builtinId="4"/>
    <cellStyle name="Currency 2" xfId="3" xr:uid="{5C6E51D8-F0C5-457F-894C-5E920CF8A07A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131B-8FE9-4A22-90FB-394E63119424}">
  <dimension ref="B2:F18"/>
  <sheetViews>
    <sheetView workbookViewId="0">
      <selection activeCell="J17" sqref="J17"/>
    </sheetView>
  </sheetViews>
  <sheetFormatPr defaultRowHeight="15" x14ac:dyDescent="0.25"/>
  <cols>
    <col min="2" max="2" width="20.42578125" customWidth="1"/>
  </cols>
  <sheetData>
    <row r="2" spans="2:2" x14ac:dyDescent="0.25">
      <c r="B2" s="22">
        <f>'Catridge filter unit'!I24</f>
        <v>300070</v>
      </c>
    </row>
    <row r="3" spans="2:2" x14ac:dyDescent="0.25">
      <c r="B3" s="22">
        <f>'Cyclone &amp; Duct'!I16</f>
        <v>118220</v>
      </c>
    </row>
    <row r="4" spans="2:2" x14ac:dyDescent="0.25">
      <c r="B4" s="22">
        <f>'Cyclone &amp; Duct'!I25</f>
        <v>40500</v>
      </c>
    </row>
    <row r="5" spans="2:2" x14ac:dyDescent="0.25">
      <c r="B5" s="22">
        <v>70000</v>
      </c>
    </row>
    <row r="6" spans="2:2" x14ac:dyDescent="0.25">
      <c r="B6" s="22">
        <f>SUM(B2:B5)</f>
        <v>528790</v>
      </c>
    </row>
    <row r="8" spans="2:2" x14ac:dyDescent="0.25">
      <c r="B8" s="21">
        <f>B6*1.35</f>
        <v>713866.5</v>
      </c>
    </row>
    <row r="9" spans="2:2" x14ac:dyDescent="0.25">
      <c r="B9" s="23">
        <v>760000</v>
      </c>
    </row>
    <row r="10" spans="2:2" x14ac:dyDescent="0.25">
      <c r="B10" s="23">
        <f>B9-150000</f>
        <v>610000</v>
      </c>
    </row>
    <row r="11" spans="2:2" x14ac:dyDescent="0.25">
      <c r="B11" s="21">
        <f>B6*1.25</f>
        <v>660987.5</v>
      </c>
    </row>
    <row r="13" spans="2:2" x14ac:dyDescent="0.25">
      <c r="B13" s="21">
        <f>B6*1.17</f>
        <v>618684.29999999993</v>
      </c>
    </row>
    <row r="18" spans="6:6" x14ac:dyDescent="0.25">
      <c r="F1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3117-C635-4122-B3B6-2B5CDFBDAAC5}">
  <dimension ref="B2:I25"/>
  <sheetViews>
    <sheetView workbookViewId="0">
      <selection activeCell="D36" sqref="D36"/>
    </sheetView>
  </sheetViews>
  <sheetFormatPr defaultRowHeight="15" x14ac:dyDescent="0.25"/>
  <cols>
    <col min="3" max="3" width="35" customWidth="1"/>
    <col min="4" max="4" width="28.5703125" customWidth="1"/>
    <col min="5" max="5" width="14.5703125" customWidth="1"/>
    <col min="7" max="7" width="11.42578125" customWidth="1"/>
    <col min="8" max="8" width="10.5703125" hidden="1" customWidth="1"/>
    <col min="9" max="9" width="13.28515625" bestFit="1" customWidth="1"/>
  </cols>
  <sheetData>
    <row r="2" spans="2:9" x14ac:dyDescent="0.25">
      <c r="B2" s="26" t="s">
        <v>43</v>
      </c>
      <c r="C2" s="26"/>
      <c r="D2" s="26"/>
      <c r="E2" s="26"/>
      <c r="F2" s="26"/>
      <c r="G2" s="26"/>
      <c r="H2" s="26"/>
      <c r="I2" s="26"/>
    </row>
    <row r="3" spans="2:9" x14ac:dyDescent="0.25">
      <c r="B3" s="24" t="s">
        <v>2</v>
      </c>
      <c r="C3" s="24"/>
      <c r="D3" s="24"/>
      <c r="E3" s="24"/>
      <c r="F3" s="24"/>
      <c r="G3" s="24"/>
      <c r="H3" s="24"/>
      <c r="I3" s="24"/>
    </row>
    <row r="4" spans="2:9" x14ac:dyDescent="0.25">
      <c r="B4" s="3">
        <v>1</v>
      </c>
      <c r="C4" s="1" t="s">
        <v>6</v>
      </c>
      <c r="D4" s="2" t="s">
        <v>3</v>
      </c>
      <c r="E4" s="3">
        <v>6</v>
      </c>
      <c r="F4" s="3" t="s">
        <v>4</v>
      </c>
      <c r="G4" s="3">
        <f>40*E4</f>
        <v>240</v>
      </c>
      <c r="H4" s="4">
        <v>130</v>
      </c>
      <c r="I4" s="5">
        <f t="shared" ref="I4:I7" si="0">ROUNDUP(G4*H4,0)</f>
        <v>31200</v>
      </c>
    </row>
    <row r="5" spans="2:9" x14ac:dyDescent="0.25">
      <c r="B5" s="6">
        <v>2</v>
      </c>
      <c r="C5" s="1" t="s">
        <v>7</v>
      </c>
      <c r="D5" s="2" t="s">
        <v>8</v>
      </c>
      <c r="E5" s="3">
        <v>1</v>
      </c>
      <c r="F5" s="3" t="s">
        <v>9</v>
      </c>
      <c r="G5" s="3">
        <f>E5*50</f>
        <v>50</v>
      </c>
      <c r="H5" s="4">
        <v>130</v>
      </c>
      <c r="I5" s="5">
        <f t="shared" si="0"/>
        <v>6500</v>
      </c>
    </row>
    <row r="6" spans="2:9" x14ac:dyDescent="0.25">
      <c r="B6" s="6">
        <v>3</v>
      </c>
      <c r="C6" s="1" t="s">
        <v>10</v>
      </c>
      <c r="D6" s="1" t="s">
        <v>46</v>
      </c>
      <c r="E6" s="7">
        <v>1</v>
      </c>
      <c r="F6" s="7" t="s">
        <v>4</v>
      </c>
      <c r="G6" s="3">
        <f>150*E6</f>
        <v>150</v>
      </c>
      <c r="H6" s="4">
        <f>H5</f>
        <v>130</v>
      </c>
      <c r="I6" s="5">
        <f t="shared" si="0"/>
        <v>19500</v>
      </c>
    </row>
    <row r="7" spans="2:9" x14ac:dyDescent="0.25">
      <c r="B7" s="3">
        <v>4</v>
      </c>
      <c r="C7" s="1" t="s">
        <v>44</v>
      </c>
      <c r="D7" s="1" t="s">
        <v>45</v>
      </c>
      <c r="E7" s="7">
        <v>4</v>
      </c>
      <c r="F7" s="7" t="s">
        <v>4</v>
      </c>
      <c r="G7" s="3">
        <f>36*E7</f>
        <v>144</v>
      </c>
      <c r="H7" s="4">
        <f>H6</f>
        <v>130</v>
      </c>
      <c r="I7" s="5">
        <f t="shared" si="0"/>
        <v>18720</v>
      </c>
    </row>
    <row r="8" spans="2:9" x14ac:dyDescent="0.25">
      <c r="B8" s="24" t="s">
        <v>0</v>
      </c>
      <c r="C8" s="24"/>
      <c r="D8" s="24"/>
      <c r="E8" s="7"/>
      <c r="F8" s="7"/>
      <c r="G8" s="1"/>
      <c r="H8" s="4"/>
      <c r="I8" s="5"/>
    </row>
    <row r="9" spans="2:9" x14ac:dyDescent="0.25">
      <c r="B9" s="6">
        <v>5</v>
      </c>
      <c r="C9" s="1" t="s">
        <v>11</v>
      </c>
      <c r="D9" s="1" t="s">
        <v>12</v>
      </c>
      <c r="E9" s="7">
        <v>4</v>
      </c>
      <c r="F9" s="7" t="s">
        <v>4</v>
      </c>
      <c r="G9" s="1"/>
      <c r="H9" s="4">
        <v>675</v>
      </c>
      <c r="I9" s="5">
        <f>E9*H9</f>
        <v>2700</v>
      </c>
    </row>
    <row r="10" spans="2:9" x14ac:dyDescent="0.25">
      <c r="B10" s="6">
        <v>6</v>
      </c>
      <c r="C10" s="1" t="s">
        <v>47</v>
      </c>
      <c r="D10" s="1" t="s">
        <v>48</v>
      </c>
      <c r="E10" s="7">
        <v>4</v>
      </c>
      <c r="F10" s="7" t="s">
        <v>4</v>
      </c>
      <c r="G10" s="1"/>
      <c r="H10" s="4">
        <v>250</v>
      </c>
      <c r="I10" s="5">
        <f>E10*H10</f>
        <v>1000</v>
      </c>
    </row>
    <row r="11" spans="2:9" x14ac:dyDescent="0.25">
      <c r="B11" s="6">
        <v>7</v>
      </c>
      <c r="C11" s="1" t="s">
        <v>49</v>
      </c>
      <c r="D11" s="1" t="s">
        <v>50</v>
      </c>
      <c r="E11" s="7">
        <v>4</v>
      </c>
      <c r="F11" s="7" t="s">
        <v>51</v>
      </c>
      <c r="G11" s="1"/>
      <c r="H11" s="4">
        <v>900</v>
      </c>
      <c r="I11" s="5">
        <f>E11*H11</f>
        <v>3600</v>
      </c>
    </row>
    <row r="12" spans="2:9" x14ac:dyDescent="0.25">
      <c r="B12" s="6">
        <v>8</v>
      </c>
      <c r="C12" s="1" t="s">
        <v>52</v>
      </c>
      <c r="D12" s="1" t="s">
        <v>53</v>
      </c>
      <c r="E12" s="7">
        <v>20</v>
      </c>
      <c r="F12" s="7" t="s">
        <v>4</v>
      </c>
      <c r="G12" s="1"/>
      <c r="H12" s="4">
        <v>10</v>
      </c>
      <c r="I12" s="5">
        <f>E12*H12</f>
        <v>200</v>
      </c>
    </row>
    <row r="13" spans="2:9" x14ac:dyDescent="0.25">
      <c r="B13" s="6">
        <v>10</v>
      </c>
      <c r="C13" s="1" t="s">
        <v>55</v>
      </c>
      <c r="D13" s="1" t="s">
        <v>54</v>
      </c>
      <c r="E13" s="7">
        <v>40</v>
      </c>
      <c r="F13" s="7" t="s">
        <v>4</v>
      </c>
      <c r="G13" s="1"/>
      <c r="H13" s="4">
        <v>20</v>
      </c>
      <c r="I13" s="5">
        <f>E13*H13</f>
        <v>800</v>
      </c>
    </row>
    <row r="14" spans="2:9" x14ac:dyDescent="0.25">
      <c r="B14" s="6">
        <v>16</v>
      </c>
      <c r="C14" s="1" t="s">
        <v>5</v>
      </c>
      <c r="D14" s="1"/>
      <c r="E14" s="7">
        <v>600</v>
      </c>
      <c r="F14" s="7" t="s">
        <v>1</v>
      </c>
      <c r="G14" s="1"/>
      <c r="H14" s="8">
        <v>50</v>
      </c>
      <c r="I14" s="5">
        <f>H14*E14</f>
        <v>30000</v>
      </c>
    </row>
    <row r="15" spans="2:9" x14ac:dyDescent="0.25">
      <c r="B15" s="6">
        <v>17</v>
      </c>
      <c r="C15" s="9" t="s">
        <v>56</v>
      </c>
      <c r="D15" s="2"/>
      <c r="E15" s="6"/>
      <c r="F15" s="3"/>
      <c r="G15" s="10"/>
      <c r="H15" s="8"/>
      <c r="I15" s="5">
        <v>4000</v>
      </c>
    </row>
    <row r="16" spans="2:9" x14ac:dyDescent="0.25">
      <c r="B16" s="6"/>
      <c r="C16" s="10"/>
      <c r="D16" s="10"/>
      <c r="E16" s="6"/>
      <c r="F16" s="10"/>
      <c r="G16" s="25" t="s">
        <v>13</v>
      </c>
      <c r="H16" s="25"/>
      <c r="I16" s="11">
        <f>SUM(I4:I15)</f>
        <v>118220</v>
      </c>
    </row>
    <row r="19" spans="2:9" x14ac:dyDescent="0.25">
      <c r="B19" s="26" t="s">
        <v>58</v>
      </c>
      <c r="C19" s="26"/>
      <c r="D19" s="26"/>
      <c r="E19" s="26"/>
      <c r="F19" s="26"/>
      <c r="G19" s="26"/>
      <c r="H19" s="26"/>
      <c r="I19" s="26"/>
    </row>
    <row r="20" spans="2:9" x14ac:dyDescent="0.25">
      <c r="B20" s="24" t="s">
        <v>2</v>
      </c>
      <c r="C20" s="24"/>
      <c r="D20" s="24"/>
      <c r="E20" s="24"/>
      <c r="F20" s="24"/>
      <c r="G20" s="24"/>
      <c r="H20" s="24"/>
      <c r="I20" s="24"/>
    </row>
    <row r="21" spans="2:9" x14ac:dyDescent="0.25">
      <c r="B21" s="3">
        <v>1</v>
      </c>
      <c r="C21" s="1" t="s">
        <v>6</v>
      </c>
      <c r="D21" s="2" t="s">
        <v>57</v>
      </c>
      <c r="E21" s="3">
        <v>4</v>
      </c>
      <c r="F21" s="3" t="s">
        <v>4</v>
      </c>
      <c r="G21" s="3">
        <f>50*E21</f>
        <v>200</v>
      </c>
      <c r="H21" s="4">
        <v>130</v>
      </c>
      <c r="I21" s="5">
        <f t="shared" ref="I21" si="1">ROUNDUP(G21*H21,0)</f>
        <v>26000</v>
      </c>
    </row>
    <row r="22" spans="2:9" x14ac:dyDescent="0.25">
      <c r="B22" s="24" t="s">
        <v>0</v>
      </c>
      <c r="C22" s="24"/>
      <c r="D22" s="24"/>
      <c r="E22" s="7"/>
      <c r="F22" s="7"/>
      <c r="G22" s="1"/>
      <c r="H22" s="4"/>
      <c r="I22" s="5"/>
    </row>
    <row r="23" spans="2:9" x14ac:dyDescent="0.25">
      <c r="B23" s="6">
        <v>2</v>
      </c>
      <c r="C23" s="1" t="s">
        <v>5</v>
      </c>
      <c r="D23" s="1"/>
      <c r="E23" s="7">
        <v>240</v>
      </c>
      <c r="F23" s="7" t="s">
        <v>1</v>
      </c>
      <c r="G23" s="1"/>
      <c r="H23" s="8">
        <v>50</v>
      </c>
      <c r="I23" s="5">
        <f>H23*E23</f>
        <v>12000</v>
      </c>
    </row>
    <row r="24" spans="2:9" x14ac:dyDescent="0.25">
      <c r="B24" s="6">
        <v>3</v>
      </c>
      <c r="C24" s="9" t="s">
        <v>56</v>
      </c>
      <c r="D24" s="2"/>
      <c r="E24" s="6"/>
      <c r="F24" s="3"/>
      <c r="G24" s="10"/>
      <c r="H24" s="8"/>
      <c r="I24" s="5">
        <v>2500</v>
      </c>
    </row>
    <row r="25" spans="2:9" x14ac:dyDescent="0.25">
      <c r="B25" s="6"/>
      <c r="C25" s="10"/>
      <c r="D25" s="10"/>
      <c r="E25" s="6"/>
      <c r="F25" s="10"/>
      <c r="G25" s="25" t="s">
        <v>13</v>
      </c>
      <c r="H25" s="25"/>
      <c r="I25" s="11">
        <f>SUM(I21:I24)</f>
        <v>40500</v>
      </c>
    </row>
  </sheetData>
  <mergeCells count="8">
    <mergeCell ref="B20:I20"/>
    <mergeCell ref="B22:D22"/>
    <mergeCell ref="G25:H25"/>
    <mergeCell ref="B2:I2"/>
    <mergeCell ref="B3:I3"/>
    <mergeCell ref="B8:D8"/>
    <mergeCell ref="G16:H16"/>
    <mergeCell ref="B19:I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6163-31BA-4502-8F00-524A8813F7A7}">
  <dimension ref="B3:I26"/>
  <sheetViews>
    <sheetView tabSelected="1" workbookViewId="0">
      <selection activeCell="L30" sqref="L30"/>
    </sheetView>
  </sheetViews>
  <sheetFormatPr defaultRowHeight="15" x14ac:dyDescent="0.25"/>
  <cols>
    <col min="3" max="3" width="26.28515625" customWidth="1"/>
    <col min="4" max="4" width="31" bestFit="1" customWidth="1"/>
    <col min="8" max="8" width="11.42578125" hidden="1" customWidth="1"/>
    <col min="9" max="9" width="23.28515625" customWidth="1"/>
  </cols>
  <sheetData>
    <row r="3" spans="2:9" x14ac:dyDescent="0.25">
      <c r="B3" s="27" t="s">
        <v>14</v>
      </c>
      <c r="C3" s="27"/>
      <c r="D3" s="27"/>
      <c r="E3" s="27"/>
      <c r="F3" s="27"/>
      <c r="G3" s="27"/>
      <c r="H3" s="27"/>
      <c r="I3" s="27"/>
    </row>
    <row r="4" spans="2:9" x14ac:dyDescent="0.25">
      <c r="B4" s="27"/>
      <c r="C4" s="27"/>
      <c r="D4" s="27"/>
      <c r="E4" s="27"/>
      <c r="F4" s="27"/>
      <c r="G4" s="27"/>
      <c r="H4" s="27"/>
      <c r="I4" s="27"/>
    </row>
    <row r="5" spans="2:9" ht="15.75" x14ac:dyDescent="0.25">
      <c r="B5" s="28" t="s">
        <v>61</v>
      </c>
      <c r="C5" s="28"/>
      <c r="D5" s="28"/>
      <c r="E5" s="29" t="s">
        <v>60</v>
      </c>
      <c r="F5" s="29"/>
      <c r="G5" s="29"/>
      <c r="H5" s="29"/>
      <c r="I5" s="29"/>
    </row>
    <row r="6" spans="2:9" x14ac:dyDescent="0.25">
      <c r="B6" s="30" t="s">
        <v>59</v>
      </c>
      <c r="C6" s="30"/>
      <c r="D6" s="30"/>
      <c r="E6" s="30"/>
      <c r="F6" s="30"/>
      <c r="G6" s="30"/>
      <c r="H6" s="30"/>
      <c r="I6" s="30"/>
    </row>
    <row r="7" spans="2:9" x14ac:dyDescent="0.25">
      <c r="B7" s="3">
        <v>1</v>
      </c>
      <c r="C7" s="12" t="s">
        <v>41</v>
      </c>
      <c r="D7" s="13" t="s">
        <v>42</v>
      </c>
      <c r="E7" s="7">
        <v>10</v>
      </c>
      <c r="F7" s="3" t="s">
        <v>4</v>
      </c>
      <c r="G7" s="3">
        <f>E7*40</f>
        <v>400</v>
      </c>
      <c r="H7" s="3">
        <v>130</v>
      </c>
      <c r="I7" s="18">
        <f>G7*H7</f>
        <v>52000</v>
      </c>
    </row>
    <row r="8" spans="2:9" x14ac:dyDescent="0.25">
      <c r="B8" s="3">
        <v>2</v>
      </c>
      <c r="C8" s="12" t="s">
        <v>15</v>
      </c>
      <c r="D8" s="13" t="s">
        <v>16</v>
      </c>
      <c r="E8" s="7">
        <v>2</v>
      </c>
      <c r="F8" s="3" t="s">
        <v>4</v>
      </c>
      <c r="G8" s="3">
        <f>E8*50</f>
        <v>100</v>
      </c>
      <c r="H8" s="3">
        <f>H7</f>
        <v>130</v>
      </c>
      <c r="I8" s="18">
        <f t="shared" ref="I8:I19" si="0">G8*H8</f>
        <v>13000</v>
      </c>
    </row>
    <row r="9" spans="2:9" x14ac:dyDescent="0.25">
      <c r="B9" s="3">
        <v>3</v>
      </c>
      <c r="C9" s="12" t="s">
        <v>17</v>
      </c>
      <c r="D9" s="13" t="s">
        <v>18</v>
      </c>
      <c r="E9" s="7">
        <v>1</v>
      </c>
      <c r="F9" s="3" t="s">
        <v>4</v>
      </c>
      <c r="G9" s="3">
        <f>150*0.4</f>
        <v>60</v>
      </c>
      <c r="H9" s="3">
        <f>H8</f>
        <v>130</v>
      </c>
      <c r="I9" s="18">
        <f t="shared" si="0"/>
        <v>7800</v>
      </c>
    </row>
    <row r="10" spans="2:9" x14ac:dyDescent="0.25">
      <c r="B10" s="3">
        <v>4</v>
      </c>
      <c r="C10" s="12" t="s">
        <v>19</v>
      </c>
      <c r="D10" s="13" t="s">
        <v>20</v>
      </c>
      <c r="E10" s="3">
        <v>2</v>
      </c>
      <c r="F10" s="3" t="s">
        <v>4</v>
      </c>
      <c r="G10" s="3">
        <f>E10*44</f>
        <v>88</v>
      </c>
      <c r="H10" s="3">
        <f>H9</f>
        <v>130</v>
      </c>
      <c r="I10" s="18">
        <f t="shared" si="0"/>
        <v>11440</v>
      </c>
    </row>
    <row r="11" spans="2:9" x14ac:dyDescent="0.25">
      <c r="B11" s="3">
        <v>5</v>
      </c>
      <c r="C11" s="12" t="s">
        <v>21</v>
      </c>
      <c r="D11" s="13" t="s">
        <v>22</v>
      </c>
      <c r="E11" s="3">
        <v>2</v>
      </c>
      <c r="F11" s="3" t="s">
        <v>4</v>
      </c>
      <c r="G11" s="3">
        <f>E11*16</f>
        <v>32</v>
      </c>
      <c r="H11" s="3">
        <f>H9</f>
        <v>130</v>
      </c>
      <c r="I11" s="18">
        <f t="shared" si="0"/>
        <v>4160</v>
      </c>
    </row>
    <row r="12" spans="2:9" x14ac:dyDescent="0.25">
      <c r="B12" s="3">
        <v>6</v>
      </c>
      <c r="C12" s="12" t="s">
        <v>23</v>
      </c>
      <c r="D12" s="13" t="s">
        <v>24</v>
      </c>
      <c r="E12" s="3">
        <v>2</v>
      </c>
      <c r="F12" s="3" t="s">
        <v>4</v>
      </c>
      <c r="G12" s="3">
        <f>E12*18</f>
        <v>36</v>
      </c>
      <c r="H12" s="3">
        <f>H9</f>
        <v>130</v>
      </c>
      <c r="I12" s="18">
        <f t="shared" si="0"/>
        <v>4680</v>
      </c>
    </row>
    <row r="13" spans="2:9" x14ac:dyDescent="0.25">
      <c r="B13" s="3">
        <v>7</v>
      </c>
      <c r="C13" s="12" t="s">
        <v>25</v>
      </c>
      <c r="D13" s="13" t="s">
        <v>26</v>
      </c>
      <c r="E13" s="3">
        <v>2</v>
      </c>
      <c r="F13" s="3" t="s">
        <v>4</v>
      </c>
      <c r="G13" s="3">
        <f>E13*24</f>
        <v>48</v>
      </c>
      <c r="H13" s="3">
        <f>H9</f>
        <v>130</v>
      </c>
      <c r="I13" s="18">
        <f t="shared" si="0"/>
        <v>6240</v>
      </c>
    </row>
    <row r="14" spans="2:9" x14ac:dyDescent="0.25">
      <c r="B14" s="3">
        <v>8</v>
      </c>
      <c r="C14" s="14" t="s">
        <v>27</v>
      </c>
      <c r="D14" s="3"/>
      <c r="E14" s="3">
        <v>2150</v>
      </c>
      <c r="F14" s="13" t="s">
        <v>1</v>
      </c>
      <c r="G14" s="3"/>
      <c r="H14" s="3">
        <v>35</v>
      </c>
      <c r="I14" s="18">
        <f>E14*H14</f>
        <v>75250</v>
      </c>
    </row>
    <row r="15" spans="2:9" x14ac:dyDescent="0.25">
      <c r="B15" s="3">
        <v>9</v>
      </c>
      <c r="C15" s="14" t="s">
        <v>28</v>
      </c>
      <c r="D15" s="3" t="s">
        <v>29</v>
      </c>
      <c r="E15" s="3">
        <v>9</v>
      </c>
      <c r="F15" s="13" t="s">
        <v>4</v>
      </c>
      <c r="G15" s="3"/>
      <c r="H15" s="3">
        <v>4500</v>
      </c>
      <c r="I15" s="18">
        <f t="shared" ref="I15:I18" si="1">E15*H15</f>
        <v>40500</v>
      </c>
    </row>
    <row r="16" spans="2:9" x14ac:dyDescent="0.25">
      <c r="B16" s="3">
        <v>9</v>
      </c>
      <c r="C16" s="14" t="s">
        <v>62</v>
      </c>
      <c r="D16" s="3" t="s">
        <v>63</v>
      </c>
      <c r="E16" s="3">
        <v>8</v>
      </c>
      <c r="F16" s="13" t="s">
        <v>4</v>
      </c>
      <c r="G16" s="3"/>
      <c r="H16" s="3">
        <v>1500</v>
      </c>
      <c r="I16" s="18">
        <f t="shared" ref="I16" si="2">E16*H16</f>
        <v>12000</v>
      </c>
    </row>
    <row r="17" spans="2:9" x14ac:dyDescent="0.25">
      <c r="B17" s="3">
        <v>10</v>
      </c>
      <c r="C17" s="14" t="s">
        <v>30</v>
      </c>
      <c r="D17" s="13" t="s">
        <v>31</v>
      </c>
      <c r="E17" s="3">
        <v>2</v>
      </c>
      <c r="F17" s="13" t="s">
        <v>4</v>
      </c>
      <c r="G17" s="3"/>
      <c r="H17" s="3">
        <v>3500</v>
      </c>
      <c r="I17" s="18">
        <f t="shared" si="1"/>
        <v>7000</v>
      </c>
    </row>
    <row r="18" spans="2:9" x14ac:dyDescent="0.25">
      <c r="B18" s="3">
        <v>11</v>
      </c>
      <c r="C18" s="14" t="s">
        <v>32</v>
      </c>
      <c r="D18" s="13"/>
      <c r="E18" s="3">
        <v>1</v>
      </c>
      <c r="F18" s="13" t="s">
        <v>4</v>
      </c>
      <c r="G18" s="3"/>
      <c r="H18" s="3">
        <v>9500</v>
      </c>
      <c r="I18" s="18">
        <f t="shared" si="1"/>
        <v>9500</v>
      </c>
    </row>
    <row r="19" spans="2:9" x14ac:dyDescent="0.25">
      <c r="B19" s="3">
        <v>12</v>
      </c>
      <c r="C19" s="14" t="s">
        <v>33</v>
      </c>
      <c r="D19" s="13"/>
      <c r="E19" s="3">
        <v>1</v>
      </c>
      <c r="F19" s="13" t="s">
        <v>34</v>
      </c>
      <c r="G19" s="3">
        <v>150</v>
      </c>
      <c r="H19" s="3">
        <v>150</v>
      </c>
      <c r="I19" s="18">
        <f t="shared" si="0"/>
        <v>22500</v>
      </c>
    </row>
    <row r="20" spans="2:9" x14ac:dyDescent="0.25">
      <c r="B20" s="3">
        <v>13</v>
      </c>
      <c r="C20" s="17" t="s">
        <v>35</v>
      </c>
      <c r="D20" s="1"/>
      <c r="E20" s="6">
        <v>1</v>
      </c>
      <c r="F20" s="15" t="s">
        <v>4</v>
      </c>
      <c r="G20" s="16"/>
      <c r="H20" s="3">
        <v>3500</v>
      </c>
      <c r="I20" s="18">
        <f t="shared" ref="I20:I23" si="3">E20*H20</f>
        <v>3500</v>
      </c>
    </row>
    <row r="21" spans="2:9" x14ac:dyDescent="0.25">
      <c r="B21" s="3">
        <v>14</v>
      </c>
      <c r="C21" s="12" t="s">
        <v>36</v>
      </c>
      <c r="D21" s="3" t="s">
        <v>37</v>
      </c>
      <c r="E21" s="3">
        <v>2</v>
      </c>
      <c r="F21" s="13" t="s">
        <v>4</v>
      </c>
      <c r="G21" s="3"/>
      <c r="H21" s="3">
        <v>2500</v>
      </c>
      <c r="I21" s="18">
        <f t="shared" si="3"/>
        <v>5000</v>
      </c>
    </row>
    <row r="22" spans="2:9" x14ac:dyDescent="0.25">
      <c r="B22" s="3">
        <v>15</v>
      </c>
      <c r="C22" s="12" t="s">
        <v>38</v>
      </c>
      <c r="D22" s="3" t="s">
        <v>39</v>
      </c>
      <c r="E22" s="3">
        <v>1</v>
      </c>
      <c r="F22" s="13" t="s">
        <v>4</v>
      </c>
      <c r="G22" s="3"/>
      <c r="H22" s="3">
        <v>18000</v>
      </c>
      <c r="I22" s="18">
        <f t="shared" si="3"/>
        <v>18000</v>
      </c>
    </row>
    <row r="23" spans="2:9" x14ac:dyDescent="0.25">
      <c r="B23" s="3">
        <v>16</v>
      </c>
      <c r="C23" s="12" t="s">
        <v>40</v>
      </c>
      <c r="D23" s="3"/>
      <c r="E23" s="3">
        <v>1</v>
      </c>
      <c r="F23" s="13" t="s">
        <v>34</v>
      </c>
      <c r="G23" s="3"/>
      <c r="H23" s="3">
        <v>7500</v>
      </c>
      <c r="I23" s="18">
        <f t="shared" si="3"/>
        <v>7500</v>
      </c>
    </row>
    <row r="24" spans="2:9" ht="15.75" x14ac:dyDescent="0.25">
      <c r="B24" s="3"/>
      <c r="C24" s="2"/>
      <c r="D24" s="3"/>
      <c r="E24" s="3"/>
      <c r="F24" s="3"/>
      <c r="G24" s="3"/>
      <c r="H24" s="3"/>
      <c r="I24" s="19">
        <f>SUM(I7:I23)</f>
        <v>300070</v>
      </c>
    </row>
    <row r="26" spans="2:9" x14ac:dyDescent="0.25">
      <c r="I26" s="20"/>
    </row>
  </sheetData>
  <mergeCells count="4">
    <mergeCell ref="B3:I4"/>
    <mergeCell ref="B5:D5"/>
    <mergeCell ref="E5:I5"/>
    <mergeCell ref="B6:I6"/>
  </mergeCells>
  <pageMargins left="0.7" right="0.7" top="0.75" bottom="0.75" header="0.3" footer="0.3"/>
  <ignoredErrors>
    <ignoredError sqref="I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</vt:lpstr>
      <vt:lpstr>Cyclone &amp; Duct</vt:lpstr>
      <vt:lpstr>Catridge filter 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2026-05-20T11:08:52Z</dcterms:modified>
</cp:coreProperties>
</file>