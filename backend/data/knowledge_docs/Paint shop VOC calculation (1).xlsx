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50\design\DESIGN TEAM\Design Calculation\"/>
    </mc:Choice>
  </mc:AlternateContent>
  <xr:revisionPtr revIDLastSave="0" documentId="8_{46C26C40-AA40-45A9-9EF1-83555DDADAF5}" xr6:coauthVersionLast="47" xr6:coauthVersionMax="47" xr10:uidLastSave="{00000000-0000-0000-0000-000000000000}"/>
  <bookViews>
    <workbookView xWindow="-120" yWindow="-120" windowWidth="29040" windowHeight="15720" xr2:uid="{F953D8D1-C850-40FC-BB00-2F76FED732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13" i="1"/>
  <c r="D14" i="1" s="1"/>
  <c r="D20" i="1" s="1"/>
  <c r="D23" i="1" s="1"/>
  <c r="D24" i="1" s="1"/>
</calcChain>
</file>

<file path=xl/sharedStrings.xml><?xml version="1.0" encoding="utf-8"?>
<sst xmlns="http://schemas.openxmlformats.org/spreadsheetml/2006/main" count="40" uniqueCount="34">
  <si>
    <t>%</t>
  </si>
  <si>
    <t>CMH</t>
  </si>
  <si>
    <t>Formula:</t>
  </si>
  <si>
    <t>Qpaint × ρ × %VOC</t>
  </si>
  <si>
    <t>mVOC</t>
  </si>
  <si>
    <t>=</t>
  </si>
  <si>
    <t>Density of paint (ρ)</t>
  </si>
  <si>
    <t>Booth airflow (Q)</t>
  </si>
  <si>
    <t xml:space="preserve">Paint consumption (Qpaint) </t>
  </si>
  <si>
    <t>Solvent content (%VOC)</t>
  </si>
  <si>
    <t>Kg / hr</t>
  </si>
  <si>
    <t>kg / L</t>
  </si>
  <si>
    <t>L / hr</t>
  </si>
  <si>
    <t>g / hr</t>
  </si>
  <si>
    <t>VOC Paint shop</t>
  </si>
  <si>
    <t>C</t>
  </si>
  <si>
    <t>VOC</t>
  </si>
  <si>
    <t>Airflow (Qair)</t>
  </si>
  <si>
    <t>m VOC / Qair</t>
  </si>
  <si>
    <t xml:space="preserve">mVOC </t>
  </si>
  <si>
    <t>m³ / hr</t>
  </si>
  <si>
    <t xml:space="preserve"> g / hr</t>
  </si>
  <si>
    <t>👉 Concentration: ©</t>
  </si>
  <si>
    <t>Typical solvent:</t>
  </si>
  <si>
    <t>👉 Safe design rule:</t>
  </si>
  <si>
    <r>
      <t xml:space="preserve">Maintain </t>
    </r>
    <r>
      <rPr>
        <b/>
        <sz val="11"/>
        <color theme="1"/>
        <rFont val="Aptos Narrow"/>
        <family val="2"/>
        <scheme val="minor"/>
      </rPr>
      <t>&lt; 25% of LEL</t>
    </r>
  </si>
  <si>
    <t>Compare with LEL (Lower Explosive Limit)</t>
  </si>
  <si>
    <r>
      <t xml:space="preserve">LEL ≈ </t>
    </r>
    <r>
      <rPr>
        <b/>
        <sz val="11"/>
        <color theme="1"/>
        <rFont val="Aptos Narrow"/>
        <family val="2"/>
        <scheme val="minor"/>
      </rPr>
      <t>1.2 % by volume</t>
    </r>
  </si>
  <si>
    <t>Practical Rule (Industry)</t>
  </si>
  <si>
    <t>VOC concentration should be:</t>
  </si>
  <si>
    <r>
      <t xml:space="preserve">👉 </t>
    </r>
    <r>
      <rPr>
        <b/>
        <sz val="11"/>
        <color theme="1"/>
        <rFont val="Aptos Narrow"/>
        <family val="2"/>
        <scheme val="minor"/>
      </rPr>
      <t>&lt; 25% LEL</t>
    </r>
  </si>
  <si>
    <r>
      <t xml:space="preserve">👉 Typically &lt; </t>
    </r>
    <r>
      <rPr>
        <b/>
        <sz val="11"/>
        <color theme="1"/>
        <rFont val="Aptos Narrow"/>
        <family val="2"/>
        <scheme val="minor"/>
      </rPr>
      <t>1000 mg/m³</t>
    </r>
  </si>
  <si>
    <t xml:space="preserve">g / m³ </t>
  </si>
  <si>
    <t xml:space="preserve">mg / m³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</si>
</sst>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3.5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right" vertical="center" indent="1"/>
    </xf>
    <xf numFmtId="3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83BDB-612A-461E-B9E7-B58A0A853961}">
  <dimension ref="B2:E40"/>
  <sheetViews>
    <sheetView tabSelected="1" zoomScale="145" zoomScaleNormal="145" workbookViewId="0">
      <selection activeCell="G28" sqref="G28"/>
    </sheetView>
  </sheetViews>
  <sheetFormatPr defaultRowHeight="15" x14ac:dyDescent="0.25"/>
  <cols>
    <col min="1" max="1" width="9.140625" style="1"/>
    <col min="2" max="2" width="26.5703125" style="1" bestFit="1" customWidth="1"/>
    <col min="3" max="3" width="9.140625" style="1"/>
    <col min="4" max="4" width="17.42578125" style="1" bestFit="1" customWidth="1"/>
    <col min="5" max="16384" width="9.140625" style="1"/>
  </cols>
  <sheetData>
    <row r="2" spans="2:5" x14ac:dyDescent="0.25">
      <c r="B2" s="6" t="s">
        <v>14</v>
      </c>
    </row>
    <row r="4" spans="2:5" x14ac:dyDescent="0.25">
      <c r="B4" s="6" t="s">
        <v>16</v>
      </c>
    </row>
    <row r="5" spans="2:5" x14ac:dyDescent="0.25">
      <c r="B5" s="1" t="s">
        <v>8</v>
      </c>
      <c r="C5" s="1">
        <v>10</v>
      </c>
      <c r="D5" s="1" t="s">
        <v>12</v>
      </c>
    </row>
    <row r="6" spans="2:5" x14ac:dyDescent="0.25">
      <c r="B6" s="1" t="s">
        <v>9</v>
      </c>
      <c r="C6" s="1">
        <v>60</v>
      </c>
      <c r="D6" s="1" t="s">
        <v>0</v>
      </c>
    </row>
    <row r="7" spans="2:5" x14ac:dyDescent="0.25">
      <c r="B7" s="1" t="s">
        <v>6</v>
      </c>
      <c r="C7" s="1">
        <v>1.2</v>
      </c>
      <c r="D7" s="1" t="s">
        <v>11</v>
      </c>
    </row>
    <row r="8" spans="2:5" x14ac:dyDescent="0.25">
      <c r="B8" s="1" t="s">
        <v>7</v>
      </c>
      <c r="C8" s="1">
        <v>10000</v>
      </c>
      <c r="D8" s="1" t="s">
        <v>1</v>
      </c>
    </row>
    <row r="10" spans="2:5" ht="18" x14ac:dyDescent="0.25">
      <c r="B10" s="7" t="s">
        <v>2</v>
      </c>
    </row>
    <row r="11" spans="2:5" x14ac:dyDescent="0.25">
      <c r="B11" s="3" t="s">
        <v>4</v>
      </c>
      <c r="C11" s="2" t="s">
        <v>5</v>
      </c>
      <c r="D11" s="1" t="s">
        <v>3</v>
      </c>
    </row>
    <row r="13" spans="2:5" x14ac:dyDescent="0.25">
      <c r="D13" s="2">
        <f>C5*C7*C6%</f>
        <v>7.1999999999999993</v>
      </c>
      <c r="E13" s="1" t="s">
        <v>10</v>
      </c>
    </row>
    <row r="14" spans="2:5" x14ac:dyDescent="0.25">
      <c r="D14" s="2">
        <f>D13*1000</f>
        <v>7199.9999999999991</v>
      </c>
      <c r="E14" s="1" t="s">
        <v>13</v>
      </c>
    </row>
    <row r="15" spans="2:5" x14ac:dyDescent="0.25">
      <c r="B15" s="11" t="s">
        <v>22</v>
      </c>
      <c r="D15" s="2"/>
    </row>
    <row r="16" spans="2:5" x14ac:dyDescent="0.25">
      <c r="B16"/>
      <c r="D16" s="2"/>
    </row>
    <row r="17" spans="2:5" ht="18" x14ac:dyDescent="0.25">
      <c r="B17" s="7" t="s">
        <v>2</v>
      </c>
      <c r="D17" s="2"/>
    </row>
    <row r="18" spans="2:5" x14ac:dyDescent="0.25">
      <c r="B18" s="3" t="s">
        <v>15</v>
      </c>
      <c r="C18" s="2" t="s">
        <v>5</v>
      </c>
      <c r="D18" s="1" t="s">
        <v>18</v>
      </c>
    </row>
    <row r="19" spans="2:5" x14ac:dyDescent="0.25">
      <c r="B19"/>
    </row>
    <row r="20" spans="2:5" x14ac:dyDescent="0.25">
      <c r="B20" s="8" t="s">
        <v>19</v>
      </c>
      <c r="C20" s="2" t="s">
        <v>5</v>
      </c>
      <c r="D20" s="4">
        <f>D14</f>
        <v>7199.9999999999991</v>
      </c>
      <c r="E20" s="1" t="s">
        <v>21</v>
      </c>
    </row>
    <row r="21" spans="2:5" x14ac:dyDescent="0.25">
      <c r="B21" s="8" t="s">
        <v>17</v>
      </c>
      <c r="C21" s="2" t="s">
        <v>5</v>
      </c>
      <c r="D21" s="9">
        <f>C8</f>
        <v>10000</v>
      </c>
      <c r="E21" s="1" t="s">
        <v>20</v>
      </c>
    </row>
    <row r="22" spans="2:5" x14ac:dyDescent="0.25">
      <c r="B22"/>
    </row>
    <row r="23" spans="2:5" x14ac:dyDescent="0.25">
      <c r="B23"/>
      <c r="C23" s="2" t="s">
        <v>5</v>
      </c>
      <c r="D23" s="4">
        <f>D20/D21</f>
        <v>0.71999999999999986</v>
      </c>
      <c r="E23" s="1" t="s">
        <v>32</v>
      </c>
    </row>
    <row r="24" spans="2:5" x14ac:dyDescent="0.25">
      <c r="B24" s="5"/>
      <c r="C24" s="2" t="s">
        <v>5</v>
      </c>
      <c r="D24" s="10">
        <f>D23*1000</f>
        <v>719.99999999999989</v>
      </c>
      <c r="E24" s="6" t="s">
        <v>33</v>
      </c>
    </row>
    <row r="26" spans="2:5" x14ac:dyDescent="0.25">
      <c r="B26" s="12" t="s">
        <v>26</v>
      </c>
      <c r="C26" s="12"/>
      <c r="D26" s="12"/>
    </row>
    <row r="28" spans="2:5" x14ac:dyDescent="0.25">
      <c r="B28" t="s">
        <v>23</v>
      </c>
    </row>
    <row r="29" spans="2:5" x14ac:dyDescent="0.25">
      <c r="B29" s="5"/>
    </row>
    <row r="30" spans="2:5" x14ac:dyDescent="0.25">
      <c r="B30" s="5" t="s">
        <v>27</v>
      </c>
    </row>
    <row r="31" spans="2:5" x14ac:dyDescent="0.25">
      <c r="B31"/>
    </row>
    <row r="32" spans="2:5" x14ac:dyDescent="0.25">
      <c r="B32" t="s">
        <v>24</v>
      </c>
    </row>
    <row r="33" spans="2:2" x14ac:dyDescent="0.25">
      <c r="B33" s="5"/>
    </row>
    <row r="34" spans="2:2" x14ac:dyDescent="0.25">
      <c r="B34" s="5" t="s">
        <v>25</v>
      </c>
    </row>
    <row r="36" spans="2:2" ht="24" x14ac:dyDescent="0.25">
      <c r="B36" s="13" t="s">
        <v>28</v>
      </c>
    </row>
    <row r="37" spans="2:2" x14ac:dyDescent="0.25">
      <c r="B37" s="5"/>
    </row>
    <row r="38" spans="2:2" x14ac:dyDescent="0.25">
      <c r="B38" s="5" t="s">
        <v>29</v>
      </c>
    </row>
    <row r="39" spans="2:2" x14ac:dyDescent="0.25">
      <c r="B39" s="5" t="s">
        <v>30</v>
      </c>
    </row>
    <row r="40" spans="2:2" x14ac:dyDescent="0.25">
      <c r="B40" s="5" t="s">
        <v>31</v>
      </c>
    </row>
  </sheetData>
  <mergeCells count="1">
    <mergeCell ref="B26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Amirtha Sivam A</dc:creator>
  <cp:lastModifiedBy>Amirtha Sivam A</cp:lastModifiedBy>
  <dcterms:created xsi:type="dcterms:W3CDTF">2026-04-11T06:37:53Z</dcterms:created>
  <dcterms:modified xsi:type="dcterms:W3CDTF">2026-04-11T07:27:10Z</dcterms:modified>
</cp:coreProperties>
</file>